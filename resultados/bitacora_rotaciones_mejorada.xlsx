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UCEMA\Cursado\14 - Finanzas Computacionales\ucema-md\"/>
    </mc:Choice>
  </mc:AlternateContent>
  <xr:revisionPtr revIDLastSave="0" documentId="13_ncr:1_{26570AA1-DF7E-46C9-8288-9F95593C9D0A}" xr6:coauthVersionLast="47" xr6:coauthVersionMax="47" xr10:uidLastSave="{00000000-0000-0000-0000-000000000000}"/>
  <bookViews>
    <workbookView xWindow="-28920" yWindow="3645" windowWidth="29040" windowHeight="15720" tabRatio="500" xr2:uid="{00000000-000D-0000-FFFF-FFFF00000000}"/>
  </bookViews>
  <sheets>
    <sheet name="Bitacora" sheetId="1" r:id="rId1"/>
    <sheet name="Analisi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B34" i="2"/>
  <c r="B35" i="2" s="1"/>
  <c r="B38" i="2"/>
  <c r="C38" i="2"/>
  <c r="B40" i="2"/>
  <c r="C40" i="2"/>
  <c r="B41" i="2"/>
  <c r="C41" i="2"/>
  <c r="R4" i="1" a="1"/>
  <c r="R4" i="1" s="1"/>
  <c r="S4" i="1" a="1"/>
  <c r="S4" i="1" s="1"/>
  <c r="R5" i="1" a="1"/>
  <c r="R5" i="1" s="1"/>
  <c r="S5" i="1" a="1"/>
  <c r="S5" i="1" s="1"/>
  <c r="R6" i="1" a="1"/>
  <c r="R6" i="1" s="1"/>
  <c r="S6" i="1" a="1"/>
  <c r="S6" i="1"/>
  <c r="R7" i="1" a="1"/>
  <c r="R7" i="1" s="1"/>
  <c r="S7" i="1" a="1"/>
  <c r="S7" i="1" s="1"/>
  <c r="R8" i="1" a="1"/>
  <c r="R8" i="1" s="1"/>
  <c r="S8" i="1" a="1"/>
  <c r="S8" i="1" s="1"/>
  <c r="R9" i="1" a="1"/>
  <c r="R9" i="1" s="1"/>
  <c r="S9" i="1" a="1"/>
  <c r="S9" i="1" s="1"/>
  <c r="R10" i="1" a="1"/>
  <c r="R10" i="1" s="1"/>
  <c r="S10" i="1" a="1"/>
  <c r="S10" i="1" s="1"/>
  <c r="R11" i="1" a="1"/>
  <c r="R11" i="1" s="1"/>
  <c r="S11" i="1" a="1"/>
  <c r="S11" i="1" s="1"/>
  <c r="R12" i="1" a="1"/>
  <c r="R12" i="1" s="1"/>
  <c r="S12" i="1" a="1"/>
  <c r="S12" i="1" s="1"/>
  <c r="R13" i="1" a="1"/>
  <c r="R13" i="1" s="1"/>
  <c r="S13" i="1" a="1"/>
  <c r="S13" i="1" s="1"/>
  <c r="R14" i="1" a="1"/>
  <c r="R14" i="1" s="1"/>
  <c r="S14" i="1" a="1"/>
  <c r="S14" i="1" s="1"/>
  <c r="R15" i="1" a="1"/>
  <c r="R15" i="1" s="1"/>
  <c r="S15" i="1" a="1"/>
  <c r="S15" i="1" s="1"/>
  <c r="R16" i="1" a="1"/>
  <c r="R16" i="1" s="1"/>
  <c r="S16" i="1" a="1"/>
  <c r="S16" i="1" s="1"/>
  <c r="R17" i="1" a="1"/>
  <c r="R17" i="1" s="1"/>
  <c r="S17" i="1" a="1"/>
  <c r="S17" i="1" s="1"/>
  <c r="R18" i="1" a="1"/>
  <c r="R18" i="1" s="1"/>
  <c r="S18" i="1" a="1"/>
  <c r="S18" i="1" s="1"/>
  <c r="R19" i="1" a="1"/>
  <c r="R19" i="1" s="1"/>
  <c r="S19" i="1" a="1"/>
  <c r="S19" i="1" s="1"/>
  <c r="R20" i="1" a="1"/>
  <c r="R20" i="1" s="1"/>
  <c r="S20" i="1" a="1"/>
  <c r="S20" i="1" s="1"/>
  <c r="R21" i="1" a="1"/>
  <c r="R21" i="1" s="1"/>
  <c r="S21" i="1" a="1"/>
  <c r="S21" i="1" s="1"/>
  <c r="R22" i="1" a="1"/>
  <c r="R22" i="1" s="1"/>
  <c r="S22" i="1" a="1"/>
  <c r="S22" i="1" s="1"/>
  <c r="R23" i="1" a="1"/>
  <c r="R23" i="1" s="1"/>
  <c r="S23" i="1" a="1"/>
  <c r="S23" i="1" s="1"/>
  <c r="R24" i="1" a="1"/>
  <c r="R24" i="1" s="1"/>
  <c r="S24" i="1" a="1"/>
  <c r="S24" i="1" s="1"/>
  <c r="R25" i="1" a="1"/>
  <c r="R25" i="1" s="1"/>
  <c r="S25" i="1" a="1"/>
  <c r="S25" i="1" s="1"/>
  <c r="R26" i="1" a="1"/>
  <c r="R26" i="1" s="1"/>
  <c r="S26" i="1" a="1"/>
  <c r="S26" i="1" s="1"/>
  <c r="R27" i="1" a="1"/>
  <c r="R27" i="1" s="1"/>
  <c r="S27" i="1" a="1"/>
  <c r="S27" i="1" s="1"/>
  <c r="R28" i="1" a="1"/>
  <c r="R28" i="1" s="1"/>
  <c r="S28" i="1" a="1"/>
  <c r="S28" i="1" s="1"/>
  <c r="R29" i="1" a="1"/>
  <c r="R29" i="1" s="1"/>
  <c r="S29" i="1" a="1"/>
  <c r="S29" i="1" s="1"/>
  <c r="R30" i="1" a="1"/>
  <c r="R30" i="1" s="1"/>
  <c r="S30" i="1" a="1"/>
  <c r="S30" i="1" s="1"/>
  <c r="R31" i="1" a="1"/>
  <c r="R31" i="1" s="1"/>
  <c r="S31" i="1" a="1"/>
  <c r="S31" i="1" s="1"/>
  <c r="R32" i="1" a="1"/>
  <c r="R32" i="1" s="1"/>
  <c r="S32" i="1" a="1"/>
  <c r="S32" i="1" s="1"/>
  <c r="R33" i="1" a="1"/>
  <c r="R33" i="1" s="1"/>
  <c r="S33" i="1" a="1"/>
  <c r="S33" i="1" s="1"/>
  <c r="R34" i="1" a="1"/>
  <c r="R34" i="1" s="1"/>
  <c r="S34" i="1" a="1"/>
  <c r="S34" i="1" s="1"/>
  <c r="R35" i="1" a="1"/>
  <c r="R35" i="1" s="1"/>
  <c r="S35" i="1" a="1"/>
  <c r="S35" i="1" s="1"/>
  <c r="R36" i="1" a="1"/>
  <c r="R36" i="1" s="1"/>
  <c r="S36" i="1" a="1"/>
  <c r="S36" i="1" s="1"/>
  <c r="R37" i="1" a="1"/>
  <c r="R37" i="1" s="1"/>
  <c r="S37" i="1" a="1"/>
  <c r="S37" i="1" s="1"/>
  <c r="R38" i="1" a="1"/>
  <c r="R38" i="1" s="1"/>
  <c r="S38" i="1" a="1"/>
  <c r="S38" i="1" s="1"/>
  <c r="R39" i="1" a="1"/>
  <c r="R39" i="1" s="1"/>
  <c r="S39" i="1" a="1"/>
  <c r="S39" i="1" s="1"/>
  <c r="R40" i="1" a="1"/>
  <c r="R40" i="1" s="1"/>
  <c r="S40" i="1" a="1"/>
  <c r="S40" i="1" s="1"/>
  <c r="R41" i="1" a="1"/>
  <c r="R41" i="1" s="1"/>
  <c r="S41" i="1" a="1"/>
  <c r="S41" i="1" s="1"/>
  <c r="R42" i="1" a="1"/>
  <c r="R42" i="1" s="1"/>
  <c r="S42" i="1" a="1"/>
  <c r="S42" i="1" s="1"/>
  <c r="R43" i="1" a="1"/>
  <c r="R43" i="1" s="1"/>
  <c r="S43" i="1" a="1"/>
  <c r="S43" i="1" s="1"/>
  <c r="R44" i="1" a="1"/>
  <c r="R44" i="1" s="1"/>
  <c r="S44" i="1" a="1"/>
  <c r="S44" i="1" s="1"/>
  <c r="R45" i="1" a="1"/>
  <c r="R45" i="1" s="1"/>
  <c r="S45" i="1" a="1"/>
  <c r="S45" i="1" s="1"/>
  <c r="R46" i="1" a="1"/>
  <c r="R46" i="1" s="1"/>
  <c r="S46" i="1" a="1"/>
  <c r="S46" i="1" s="1"/>
  <c r="R47" i="1" a="1"/>
  <c r="R47" i="1" s="1"/>
  <c r="S47" i="1" a="1"/>
  <c r="S47" i="1" s="1"/>
  <c r="R48" i="1" a="1"/>
  <c r="R48" i="1" s="1"/>
  <c r="S48" i="1" a="1"/>
  <c r="S48" i="1" s="1"/>
  <c r="R49" i="1" a="1"/>
  <c r="R49" i="1" s="1"/>
  <c r="S49" i="1" a="1"/>
  <c r="S49" i="1" s="1"/>
  <c r="R50" i="1" a="1"/>
  <c r="R50" i="1" s="1"/>
  <c r="S50" i="1" a="1"/>
  <c r="S50" i="1" s="1"/>
  <c r="R51" i="1" a="1"/>
  <c r="R51" i="1" s="1"/>
  <c r="S51" i="1" a="1"/>
  <c r="S51" i="1" s="1"/>
  <c r="R52" i="1" a="1"/>
  <c r="R52" i="1" s="1"/>
  <c r="S52" i="1" a="1"/>
  <c r="S52" i="1" s="1"/>
  <c r="R53" i="1" a="1"/>
  <c r="R53" i="1" s="1"/>
  <c r="S53" i="1" a="1"/>
  <c r="S53" i="1" s="1"/>
  <c r="R54" i="1" a="1"/>
  <c r="R54" i="1" s="1"/>
  <c r="S54" i="1" a="1"/>
  <c r="S54" i="1" s="1"/>
  <c r="R55" i="1" a="1"/>
  <c r="R55" i="1" s="1"/>
  <c r="S55" i="1" a="1"/>
  <c r="S55" i="1" s="1"/>
  <c r="R56" i="1" a="1"/>
  <c r="R56" i="1" s="1"/>
  <c r="S56" i="1" a="1"/>
  <c r="S56" i="1" s="1"/>
  <c r="R57" i="1" a="1"/>
  <c r="R57" i="1" s="1"/>
  <c r="S57" i="1" a="1"/>
  <c r="S57" i="1" s="1"/>
  <c r="R58" i="1" a="1"/>
  <c r="R58" i="1" s="1"/>
  <c r="S58" i="1" a="1"/>
  <c r="S58" i="1" s="1"/>
  <c r="R59" i="1" a="1"/>
  <c r="R59" i="1" s="1"/>
  <c r="S59" i="1" a="1"/>
  <c r="S59" i="1" s="1"/>
  <c r="R60" i="1" a="1"/>
  <c r="R60" i="1" s="1"/>
  <c r="S60" i="1" a="1"/>
  <c r="S60" i="1" s="1"/>
  <c r="R61" i="1" a="1"/>
  <c r="R61" i="1" s="1"/>
  <c r="S61" i="1" a="1"/>
  <c r="S61" i="1" s="1"/>
  <c r="R62" i="1" a="1"/>
  <c r="R62" i="1" s="1"/>
  <c r="S62" i="1" a="1"/>
  <c r="S62" i="1" s="1"/>
  <c r="R63" i="1" a="1"/>
  <c r="R63" i="1" s="1"/>
  <c r="S63" i="1" a="1"/>
  <c r="S63" i="1" s="1"/>
  <c r="R64" i="1" a="1"/>
  <c r="R64" i="1" s="1"/>
  <c r="S64" i="1" a="1"/>
  <c r="S64" i="1" s="1"/>
  <c r="R65" i="1" a="1"/>
  <c r="R65" i="1" s="1"/>
  <c r="S65" i="1" a="1"/>
  <c r="S65" i="1" s="1"/>
  <c r="R66" i="1" a="1"/>
  <c r="R66" i="1" s="1"/>
  <c r="S66" i="1" a="1"/>
  <c r="S66" i="1" s="1"/>
  <c r="R67" i="1" a="1"/>
  <c r="R67" i="1" s="1"/>
  <c r="S67" i="1" a="1"/>
  <c r="S67" i="1" s="1"/>
  <c r="R68" i="1" a="1"/>
  <c r="R68" i="1" s="1"/>
  <c r="S68" i="1" a="1"/>
  <c r="S68" i="1" s="1"/>
  <c r="R69" i="1" a="1"/>
  <c r="R69" i="1" s="1"/>
  <c r="S69" i="1" a="1"/>
  <c r="S69" i="1" s="1"/>
  <c r="R70" i="1" a="1"/>
  <c r="R70" i="1" s="1"/>
  <c r="S70" i="1" a="1"/>
  <c r="S70" i="1" s="1"/>
  <c r="R71" i="1" a="1"/>
  <c r="R71" i="1" s="1"/>
  <c r="S71" i="1" a="1"/>
  <c r="S71" i="1" s="1"/>
  <c r="R72" i="1" a="1"/>
  <c r="R72" i="1" s="1"/>
  <c r="S72" i="1" a="1"/>
  <c r="S72" i="1" s="1"/>
  <c r="R73" i="1" a="1"/>
  <c r="R73" i="1" s="1"/>
  <c r="S73" i="1" a="1"/>
  <c r="S73" i="1" s="1"/>
  <c r="R74" i="1" a="1"/>
  <c r="R74" i="1" s="1"/>
  <c r="S74" i="1" a="1"/>
  <c r="S74" i="1" s="1"/>
  <c r="R75" i="1" a="1"/>
  <c r="R75" i="1" s="1"/>
  <c r="S75" i="1" a="1"/>
  <c r="S75" i="1" s="1"/>
  <c r="R76" i="1" a="1"/>
  <c r="R76" i="1" s="1"/>
  <c r="S76" i="1" a="1"/>
  <c r="S76" i="1" s="1"/>
  <c r="R77" i="1" a="1"/>
  <c r="R77" i="1" s="1"/>
  <c r="S77" i="1" a="1"/>
  <c r="S77" i="1" s="1"/>
  <c r="R78" i="1" a="1"/>
  <c r="R78" i="1" s="1"/>
  <c r="S78" i="1" a="1"/>
  <c r="S78" i="1" s="1"/>
  <c r="R79" i="1" a="1"/>
  <c r="R79" i="1" s="1"/>
  <c r="S79" i="1" a="1"/>
  <c r="S79" i="1" s="1"/>
  <c r="R80" i="1" a="1"/>
  <c r="R80" i="1" s="1"/>
  <c r="S80" i="1" a="1"/>
  <c r="S80" i="1" s="1"/>
  <c r="R81" i="1" a="1"/>
  <c r="R81" i="1" s="1"/>
  <c r="S81" i="1" a="1"/>
  <c r="S81" i="1" s="1"/>
  <c r="R82" i="1" a="1"/>
  <c r="R82" i="1" s="1"/>
  <c r="S82" i="1" a="1"/>
  <c r="S82" i="1" s="1"/>
  <c r="R83" i="1" a="1"/>
  <c r="R83" i="1" s="1"/>
  <c r="S83" i="1" a="1"/>
  <c r="S83" i="1" s="1"/>
  <c r="R84" i="1" a="1"/>
  <c r="R84" i="1" s="1"/>
  <c r="S84" i="1" a="1"/>
  <c r="S84" i="1" s="1"/>
  <c r="R85" i="1" a="1"/>
  <c r="R85" i="1" s="1"/>
  <c r="S85" i="1" a="1"/>
  <c r="S85" i="1" s="1"/>
  <c r="R86" i="1" a="1"/>
  <c r="R86" i="1" s="1"/>
  <c r="S86" i="1" a="1"/>
  <c r="S86" i="1" s="1"/>
  <c r="R87" i="1" a="1"/>
  <c r="R87" i="1" s="1"/>
  <c r="S87" i="1" a="1"/>
  <c r="S87" i="1" s="1"/>
  <c r="R88" i="1" a="1"/>
  <c r="R88" i="1" s="1"/>
  <c r="S88" i="1" a="1"/>
  <c r="S88" i="1" s="1"/>
  <c r="R89" i="1" a="1"/>
  <c r="R89" i="1" s="1"/>
  <c r="S89" i="1" a="1"/>
  <c r="S89" i="1" s="1"/>
  <c r="R90" i="1" a="1"/>
  <c r="R90" i="1" s="1"/>
  <c r="S90" i="1" a="1"/>
  <c r="S90" i="1" s="1"/>
  <c r="R91" i="1" a="1"/>
  <c r="R91" i="1" s="1"/>
  <c r="S91" i="1" a="1"/>
  <c r="S91" i="1" s="1"/>
  <c r="R92" i="1" a="1"/>
  <c r="R92" i="1" s="1"/>
  <c r="S92" i="1" a="1"/>
  <c r="S92" i="1" s="1"/>
  <c r="R93" i="1" a="1"/>
  <c r="R93" i="1" s="1"/>
  <c r="S93" i="1" a="1"/>
  <c r="S93" i="1" s="1"/>
  <c r="R94" i="1" a="1"/>
  <c r="R94" i="1" s="1"/>
  <c r="S94" i="1" a="1"/>
  <c r="S94" i="1" s="1"/>
  <c r="R95" i="1" a="1"/>
  <c r="R95" i="1" s="1"/>
  <c r="S95" i="1" a="1"/>
  <c r="S95" i="1" s="1"/>
  <c r="R96" i="1" a="1"/>
  <c r="R96" i="1" s="1"/>
  <c r="S96" i="1" a="1"/>
  <c r="S96" i="1" s="1"/>
  <c r="R97" i="1" a="1"/>
  <c r="R97" i="1" s="1"/>
  <c r="S97" i="1" a="1"/>
  <c r="S97" i="1" s="1"/>
  <c r="R98" i="1" a="1"/>
  <c r="R98" i="1" s="1"/>
  <c r="S98" i="1" a="1"/>
  <c r="S98" i="1" s="1"/>
  <c r="R99" i="1" a="1"/>
  <c r="R99" i="1" s="1"/>
  <c r="S99" i="1" a="1"/>
  <c r="S99" i="1" s="1"/>
  <c r="R100" i="1" a="1"/>
  <c r="R100" i="1" s="1"/>
  <c r="S100" i="1" a="1"/>
  <c r="S100" i="1" s="1"/>
  <c r="R101" i="1" a="1"/>
  <c r="R101" i="1" s="1"/>
  <c r="S101" i="1" a="1"/>
  <c r="S101" i="1" s="1"/>
  <c r="R102" i="1" a="1"/>
  <c r="R102" i="1" s="1"/>
  <c r="S102" i="1" a="1"/>
  <c r="S102" i="1" s="1"/>
  <c r="R103" i="1" a="1"/>
  <c r="R103" i="1" s="1"/>
  <c r="S103" i="1" a="1"/>
  <c r="S103" i="1" s="1"/>
  <c r="R104" i="1" a="1"/>
  <c r="R104" i="1" s="1"/>
  <c r="S104" i="1" a="1"/>
  <c r="S104" i="1" s="1"/>
  <c r="R105" i="1" a="1"/>
  <c r="R105" i="1" s="1"/>
  <c r="S105" i="1" a="1"/>
  <c r="S105" i="1" s="1"/>
  <c r="R106" i="1" a="1"/>
  <c r="R106" i="1" s="1"/>
  <c r="S106" i="1" a="1"/>
  <c r="S106" i="1" s="1"/>
  <c r="R107" i="1" a="1"/>
  <c r="R107" i="1" s="1"/>
  <c r="S107" i="1" a="1"/>
  <c r="S107" i="1" s="1"/>
  <c r="R108" i="1" a="1"/>
  <c r="R108" i="1" s="1"/>
  <c r="S108" i="1" a="1"/>
  <c r="S108" i="1" s="1"/>
  <c r="R109" i="1" a="1"/>
  <c r="R109" i="1" s="1"/>
  <c r="S109" i="1" a="1"/>
  <c r="S109" i="1" s="1"/>
  <c r="R110" i="1" a="1"/>
  <c r="R110" i="1" s="1"/>
  <c r="S110" i="1" a="1"/>
  <c r="S110" i="1" s="1"/>
  <c r="R111" i="1" a="1"/>
  <c r="R111" i="1" s="1"/>
  <c r="S111" i="1" a="1"/>
  <c r="S111" i="1" s="1"/>
  <c r="R112" i="1" a="1"/>
  <c r="R112" i="1" s="1"/>
  <c r="S112" i="1" a="1"/>
  <c r="S112" i="1" s="1"/>
  <c r="R113" i="1" a="1"/>
  <c r="R113" i="1" s="1"/>
  <c r="S113" i="1" a="1"/>
  <c r="S113" i="1" s="1"/>
  <c r="R114" i="1" a="1"/>
  <c r="R114" i="1" s="1"/>
  <c r="S114" i="1" a="1"/>
  <c r="S114" i="1" s="1"/>
  <c r="R115" i="1" a="1"/>
  <c r="R115" i="1" s="1"/>
  <c r="S115" i="1" a="1"/>
  <c r="S115" i="1" s="1"/>
  <c r="R116" i="1" a="1"/>
  <c r="R116" i="1" s="1"/>
  <c r="S116" i="1" a="1"/>
  <c r="S116" i="1" s="1"/>
  <c r="R117" i="1" a="1"/>
  <c r="R117" i="1" s="1"/>
  <c r="S117" i="1" a="1"/>
  <c r="S117" i="1" s="1"/>
  <c r="R118" i="1" a="1"/>
  <c r="R118" i="1" s="1"/>
  <c r="S118" i="1" a="1"/>
  <c r="S118" i="1" s="1"/>
  <c r="R119" i="1" a="1"/>
  <c r="R119" i="1" s="1"/>
  <c r="S119" i="1" a="1"/>
  <c r="S119" i="1" s="1"/>
  <c r="R120" i="1" a="1"/>
  <c r="R120" i="1" s="1"/>
  <c r="S120" i="1" a="1"/>
  <c r="S120" i="1" s="1"/>
  <c r="R121" i="1" a="1"/>
  <c r="R121" i="1" s="1"/>
  <c r="S121" i="1" a="1"/>
  <c r="S121" i="1" s="1"/>
  <c r="R122" i="1" a="1"/>
  <c r="R122" i="1" s="1"/>
  <c r="S122" i="1" a="1"/>
  <c r="S122" i="1" s="1"/>
  <c r="R123" i="1" a="1"/>
  <c r="R123" i="1" s="1"/>
  <c r="S123" i="1" a="1"/>
  <c r="S123" i="1" s="1"/>
  <c r="R124" i="1" a="1"/>
  <c r="R124" i="1" s="1"/>
  <c r="S124" i="1" a="1"/>
  <c r="S124" i="1" s="1"/>
  <c r="R125" i="1" a="1"/>
  <c r="R125" i="1" s="1"/>
  <c r="S125" i="1" a="1"/>
  <c r="S125" i="1" s="1"/>
  <c r="R126" i="1" a="1"/>
  <c r="R126" i="1" s="1"/>
  <c r="S126" i="1" a="1"/>
  <c r="S126" i="1" s="1"/>
  <c r="R127" i="1" a="1"/>
  <c r="R127" i="1" s="1"/>
  <c r="S127" i="1" a="1"/>
  <c r="S127" i="1" s="1"/>
  <c r="R128" i="1" a="1"/>
  <c r="R128" i="1" s="1"/>
  <c r="S128" i="1" a="1"/>
  <c r="S128" i="1" s="1"/>
  <c r="R129" i="1" a="1"/>
  <c r="R129" i="1" s="1"/>
  <c r="S129" i="1" a="1"/>
  <c r="S129" i="1" s="1"/>
  <c r="R130" i="1" a="1"/>
  <c r="R130" i="1" s="1"/>
  <c r="S130" i="1" a="1"/>
  <c r="S130" i="1" s="1"/>
  <c r="R131" i="1" a="1"/>
  <c r="R131" i="1" s="1"/>
  <c r="S131" i="1" a="1"/>
  <c r="S131" i="1" s="1"/>
  <c r="R132" i="1" a="1"/>
  <c r="R132" i="1" s="1"/>
  <c r="S132" i="1" a="1"/>
  <c r="S132" i="1" s="1"/>
  <c r="R133" i="1" a="1"/>
  <c r="R133" i="1" s="1"/>
  <c r="S133" i="1" a="1"/>
  <c r="S133" i="1" s="1"/>
  <c r="R134" i="1" a="1"/>
  <c r="R134" i="1" s="1"/>
  <c r="S134" i="1" a="1"/>
  <c r="S134" i="1" s="1"/>
  <c r="R135" i="1" a="1"/>
  <c r="R135" i="1" s="1"/>
  <c r="S135" i="1" a="1"/>
  <c r="S135" i="1" s="1"/>
  <c r="R136" i="1" a="1"/>
  <c r="R136" i="1" s="1"/>
  <c r="S136" i="1" a="1"/>
  <c r="S136" i="1" s="1"/>
  <c r="R137" i="1" a="1"/>
  <c r="R137" i="1" s="1"/>
  <c r="S137" i="1" a="1"/>
  <c r="S137" i="1" s="1"/>
  <c r="R138" i="1" a="1"/>
  <c r="R138" i="1" s="1"/>
  <c r="S138" i="1" a="1"/>
  <c r="S138" i="1" s="1"/>
  <c r="R139" i="1" a="1"/>
  <c r="R139" i="1" s="1"/>
  <c r="S139" i="1" a="1"/>
  <c r="S139" i="1" s="1"/>
  <c r="R140" i="1" a="1"/>
  <c r="R140" i="1" s="1"/>
  <c r="S140" i="1" a="1"/>
  <c r="S140" i="1" s="1"/>
  <c r="R141" i="1" a="1"/>
  <c r="R141" i="1" s="1"/>
  <c r="S141" i="1" a="1"/>
  <c r="S141" i="1" s="1"/>
  <c r="R142" i="1" a="1"/>
  <c r="R142" i="1" s="1"/>
  <c r="S142" i="1" a="1"/>
  <c r="S142" i="1" s="1"/>
  <c r="R143" i="1" a="1"/>
  <c r="R143" i="1" s="1"/>
  <c r="S143" i="1" a="1"/>
  <c r="S143" i="1" s="1"/>
  <c r="R144" i="1" a="1"/>
  <c r="R144" i="1" s="1"/>
  <c r="S144" i="1" a="1"/>
  <c r="S144" i="1" s="1"/>
  <c r="R145" i="1" a="1"/>
  <c r="R145" i="1" s="1"/>
  <c r="S145" i="1" a="1"/>
  <c r="S145" i="1" s="1"/>
  <c r="R146" i="1" a="1"/>
  <c r="R146" i="1" s="1"/>
  <c r="S146" i="1" a="1"/>
  <c r="S146" i="1" s="1"/>
  <c r="R147" i="1" a="1"/>
  <c r="R147" i="1" s="1"/>
  <c r="S147" i="1" a="1"/>
  <c r="S147" i="1" s="1"/>
  <c r="R148" i="1" a="1"/>
  <c r="R148" i="1" s="1"/>
  <c r="S148" i="1" a="1"/>
  <c r="S148" i="1" s="1"/>
  <c r="R149" i="1" a="1"/>
  <c r="R149" i="1" s="1"/>
  <c r="S149" i="1" a="1"/>
  <c r="S149" i="1" s="1"/>
  <c r="R150" i="1" a="1"/>
  <c r="R150" i="1" s="1"/>
  <c r="S150" i="1" a="1"/>
  <c r="S150" i="1" s="1"/>
  <c r="R151" i="1" a="1"/>
  <c r="R151" i="1" s="1"/>
  <c r="S151" i="1" a="1"/>
  <c r="S151" i="1" s="1"/>
  <c r="R152" i="1" a="1"/>
  <c r="R152" i="1" s="1"/>
  <c r="S152" i="1" a="1"/>
  <c r="S152" i="1" s="1"/>
  <c r="R153" i="1" a="1"/>
  <c r="R153" i="1" s="1"/>
  <c r="S153" i="1" a="1"/>
  <c r="S153" i="1" s="1"/>
  <c r="R154" i="1" a="1"/>
  <c r="R154" i="1" s="1"/>
  <c r="S154" i="1" a="1"/>
  <c r="S154" i="1" s="1"/>
  <c r="R155" i="1" a="1"/>
  <c r="R155" i="1" s="1"/>
  <c r="S155" i="1" a="1"/>
  <c r="S155" i="1" s="1"/>
  <c r="R156" i="1" a="1"/>
  <c r="R156" i="1" s="1"/>
  <c r="S156" i="1" a="1"/>
  <c r="S156" i="1" s="1"/>
  <c r="R157" i="1" a="1"/>
  <c r="R157" i="1" s="1"/>
  <c r="S157" i="1" a="1"/>
  <c r="S157" i="1" s="1"/>
  <c r="R158" i="1" a="1"/>
  <c r="R158" i="1" s="1"/>
  <c r="S158" i="1" a="1"/>
  <c r="S158" i="1" s="1"/>
  <c r="R159" i="1" a="1"/>
  <c r="R159" i="1" s="1"/>
  <c r="S159" i="1" a="1"/>
  <c r="S159" i="1" s="1"/>
  <c r="R160" i="1" a="1"/>
  <c r="R160" i="1" s="1"/>
  <c r="S160" i="1" a="1"/>
  <c r="S160" i="1" s="1"/>
  <c r="R161" i="1" a="1"/>
  <c r="R161" i="1" s="1"/>
  <c r="S161" i="1" a="1"/>
  <c r="S161" i="1" s="1"/>
  <c r="R162" i="1" a="1"/>
  <c r="R162" i="1" s="1"/>
  <c r="S162" i="1" a="1"/>
  <c r="S162" i="1" s="1"/>
  <c r="R163" i="1" a="1"/>
  <c r="R163" i="1" s="1"/>
  <c r="S163" i="1" a="1"/>
  <c r="S163" i="1" s="1"/>
  <c r="R164" i="1" a="1"/>
  <c r="R164" i="1" s="1"/>
  <c r="S164" i="1" a="1"/>
  <c r="S164" i="1" s="1"/>
  <c r="R165" i="1" a="1"/>
  <c r="R165" i="1" s="1"/>
  <c r="S165" i="1" a="1"/>
  <c r="S165" i="1" s="1"/>
  <c r="R166" i="1" a="1"/>
  <c r="R166" i="1" s="1"/>
  <c r="S166" i="1" a="1"/>
  <c r="S166" i="1" s="1"/>
  <c r="R167" i="1" a="1"/>
  <c r="R167" i="1" s="1"/>
  <c r="S167" i="1" a="1"/>
  <c r="S167" i="1" s="1"/>
  <c r="R168" i="1" a="1"/>
  <c r="R168" i="1" s="1"/>
  <c r="S168" i="1" a="1"/>
  <c r="S168" i="1" s="1"/>
  <c r="R169" i="1" a="1"/>
  <c r="R169" i="1" s="1"/>
  <c r="S169" i="1" a="1"/>
  <c r="S169" i="1" s="1"/>
  <c r="R170" i="1" a="1"/>
  <c r="R170" i="1" s="1"/>
  <c r="S170" i="1" a="1"/>
  <c r="S170" i="1" s="1"/>
  <c r="R171" i="1" a="1"/>
  <c r="R171" i="1" s="1"/>
  <c r="S171" i="1" a="1"/>
  <c r="S171" i="1" s="1"/>
  <c r="R172" i="1" a="1"/>
  <c r="R172" i="1" s="1"/>
  <c r="S172" i="1" a="1"/>
  <c r="S172" i="1" s="1"/>
  <c r="R173" i="1" a="1"/>
  <c r="R173" i="1" s="1"/>
  <c r="S173" i="1" a="1"/>
  <c r="S173" i="1" s="1"/>
  <c r="R174" i="1" a="1"/>
  <c r="R174" i="1" s="1"/>
  <c r="S174" i="1" a="1"/>
  <c r="S174" i="1" s="1"/>
  <c r="R175" i="1" a="1"/>
  <c r="R175" i="1" s="1"/>
  <c r="S175" i="1" a="1"/>
  <c r="S175" i="1" s="1"/>
  <c r="R176" i="1" a="1"/>
  <c r="R176" i="1" s="1"/>
  <c r="S176" i="1" a="1"/>
  <c r="S176" i="1" s="1"/>
  <c r="R177" i="1" a="1"/>
  <c r="R177" i="1" s="1"/>
  <c r="S177" i="1" a="1"/>
  <c r="S177" i="1" s="1"/>
  <c r="R178" i="1" a="1"/>
  <c r="R178" i="1" s="1"/>
  <c r="S178" i="1" a="1"/>
  <c r="S178" i="1" s="1"/>
  <c r="R179" i="1" a="1"/>
  <c r="R179" i="1" s="1"/>
  <c r="S179" i="1" a="1"/>
  <c r="S179" i="1" s="1"/>
  <c r="R180" i="1" a="1"/>
  <c r="R180" i="1" s="1"/>
  <c r="S180" i="1" a="1"/>
  <c r="S180" i="1" s="1"/>
  <c r="R181" i="1" a="1"/>
  <c r="R181" i="1" s="1"/>
  <c r="S181" i="1" a="1"/>
  <c r="S181" i="1" s="1"/>
  <c r="R182" i="1" a="1"/>
  <c r="R182" i="1" s="1"/>
  <c r="S182" i="1" a="1"/>
  <c r="S182" i="1" s="1"/>
  <c r="R183" i="1" a="1"/>
  <c r="R183" i="1" s="1"/>
  <c r="S183" i="1" a="1"/>
  <c r="S183" i="1" s="1"/>
  <c r="R184" i="1" a="1"/>
  <c r="R184" i="1" s="1"/>
  <c r="S184" i="1" a="1"/>
  <c r="S184" i="1" s="1"/>
  <c r="R185" i="1" a="1"/>
  <c r="R185" i="1" s="1"/>
  <c r="S185" i="1" a="1"/>
  <c r="S185" i="1" s="1"/>
  <c r="R186" i="1" a="1"/>
  <c r="R186" i="1" s="1"/>
  <c r="S186" i="1" a="1"/>
  <c r="S186" i="1" s="1"/>
  <c r="R187" i="1" a="1"/>
  <c r="R187" i="1" s="1"/>
  <c r="S187" i="1" a="1"/>
  <c r="S187" i="1" s="1"/>
  <c r="R188" i="1" a="1"/>
  <c r="R188" i="1" s="1"/>
  <c r="S188" i="1" a="1"/>
  <c r="S188" i="1" s="1"/>
  <c r="R189" i="1" a="1"/>
  <c r="R189" i="1" s="1"/>
  <c r="S189" i="1" a="1"/>
  <c r="S189" i="1" s="1"/>
  <c r="R190" i="1" a="1"/>
  <c r="R190" i="1" s="1"/>
  <c r="S190" i="1" a="1"/>
  <c r="S190" i="1" s="1"/>
  <c r="R191" i="1" a="1"/>
  <c r="R191" i="1" s="1"/>
  <c r="S191" i="1" a="1"/>
  <c r="S191" i="1" s="1"/>
  <c r="R192" i="1" a="1"/>
  <c r="R192" i="1" s="1"/>
  <c r="S192" i="1" a="1"/>
  <c r="S192" i="1" s="1"/>
  <c r="R193" i="1" a="1"/>
  <c r="R193" i="1" s="1"/>
  <c r="S193" i="1" a="1"/>
  <c r="S193" i="1" s="1"/>
  <c r="R194" i="1" a="1"/>
  <c r="R194" i="1" s="1"/>
  <c r="S194" i="1" a="1"/>
  <c r="S194" i="1" s="1"/>
  <c r="R195" i="1" a="1"/>
  <c r="R195" i="1" s="1"/>
  <c r="S195" i="1" a="1"/>
  <c r="S195" i="1" s="1"/>
  <c r="R196" i="1" a="1"/>
  <c r="R196" i="1" s="1"/>
  <c r="S196" i="1" a="1"/>
  <c r="S196" i="1" s="1"/>
  <c r="R197" i="1" a="1"/>
  <c r="R197" i="1" s="1"/>
  <c r="S197" i="1" a="1"/>
  <c r="S197" i="1" s="1"/>
  <c r="R198" i="1" a="1"/>
  <c r="R198" i="1" s="1"/>
  <c r="S198" i="1" a="1"/>
  <c r="S198" i="1" s="1"/>
  <c r="R199" i="1" a="1"/>
  <c r="R199" i="1" s="1"/>
  <c r="S199" i="1" a="1"/>
  <c r="S199" i="1" s="1"/>
  <c r="R200" i="1" a="1"/>
  <c r="R200" i="1" s="1"/>
  <c r="S200" i="1" a="1"/>
  <c r="S200" i="1" s="1"/>
  <c r="R201" i="1" a="1"/>
  <c r="R201" i="1" s="1"/>
  <c r="S201" i="1" a="1"/>
  <c r="S201" i="1" s="1"/>
  <c r="R202" i="1" a="1"/>
  <c r="R202" i="1" s="1"/>
  <c r="S202" i="1" a="1"/>
  <c r="S202" i="1" s="1"/>
  <c r="R203" i="1" a="1"/>
  <c r="R203" i="1" s="1"/>
  <c r="S203" i="1" a="1"/>
  <c r="S203" i="1" s="1"/>
  <c r="R204" i="1" a="1"/>
  <c r="R204" i="1" s="1"/>
  <c r="S204" i="1" a="1"/>
  <c r="S204" i="1" s="1"/>
  <c r="R205" i="1" a="1"/>
  <c r="R205" i="1" s="1"/>
  <c r="S205" i="1" a="1"/>
  <c r="S205" i="1" s="1"/>
  <c r="R206" i="1" a="1"/>
  <c r="R206" i="1" s="1"/>
  <c r="S206" i="1" a="1"/>
  <c r="S206" i="1" s="1"/>
  <c r="R207" i="1" a="1"/>
  <c r="R207" i="1" s="1"/>
  <c r="S207" i="1" a="1"/>
  <c r="S207" i="1" s="1"/>
  <c r="R208" i="1" a="1"/>
  <c r="R208" i="1" s="1"/>
  <c r="S208" i="1" a="1"/>
  <c r="S208" i="1" s="1"/>
  <c r="R209" i="1" a="1"/>
  <c r="R209" i="1" s="1"/>
  <c r="S209" i="1" a="1"/>
  <c r="S209" i="1" s="1"/>
  <c r="R210" i="1" a="1"/>
  <c r="R210" i="1" s="1"/>
  <c r="S210" i="1" a="1"/>
  <c r="S210" i="1" s="1"/>
  <c r="R211" i="1" a="1"/>
  <c r="R211" i="1" s="1"/>
  <c r="S211" i="1" a="1"/>
  <c r="S211" i="1" s="1"/>
  <c r="R212" i="1" a="1"/>
  <c r="R212" i="1" s="1"/>
  <c r="S212" i="1" a="1"/>
  <c r="S212" i="1" s="1"/>
  <c r="R213" i="1" a="1"/>
  <c r="R213" i="1" s="1"/>
  <c r="S213" i="1" a="1"/>
  <c r="S213" i="1" s="1"/>
  <c r="R214" i="1" a="1"/>
  <c r="R214" i="1" s="1"/>
  <c r="S214" i="1" a="1"/>
  <c r="S214" i="1" s="1"/>
  <c r="R215" i="1" a="1"/>
  <c r="R215" i="1" s="1"/>
  <c r="S215" i="1" a="1"/>
  <c r="S215" i="1" s="1"/>
  <c r="R216" i="1" a="1"/>
  <c r="R216" i="1" s="1"/>
  <c r="S216" i="1" a="1"/>
  <c r="S216" i="1" s="1"/>
  <c r="R217" i="1" a="1"/>
  <c r="R217" i="1" s="1"/>
  <c r="S217" i="1" a="1"/>
  <c r="S217" i="1" s="1"/>
  <c r="R218" i="1" a="1"/>
  <c r="R218" i="1" s="1"/>
  <c r="S218" i="1" a="1"/>
  <c r="S218" i="1" s="1"/>
  <c r="R219" i="1" a="1"/>
  <c r="R219" i="1" s="1"/>
  <c r="S219" i="1" a="1"/>
  <c r="S219" i="1" s="1"/>
  <c r="R220" i="1" a="1"/>
  <c r="R220" i="1" s="1"/>
  <c r="S220" i="1" a="1"/>
  <c r="S220" i="1" s="1"/>
  <c r="R221" i="1" a="1"/>
  <c r="R221" i="1" s="1"/>
  <c r="S221" i="1" a="1"/>
  <c r="S221" i="1" s="1"/>
  <c r="R222" i="1" a="1"/>
  <c r="R222" i="1" s="1"/>
  <c r="S222" i="1" a="1"/>
  <c r="S222" i="1" s="1"/>
  <c r="R223" i="1" a="1"/>
  <c r="R223" i="1" s="1"/>
  <c r="S223" i="1" a="1"/>
  <c r="S223" i="1" s="1"/>
  <c r="R224" i="1" a="1"/>
  <c r="R224" i="1" s="1"/>
  <c r="S224" i="1" a="1"/>
  <c r="S224" i="1" s="1"/>
  <c r="R225" i="1" a="1"/>
  <c r="R225" i="1" s="1"/>
  <c r="S225" i="1" a="1"/>
  <c r="S225" i="1" s="1"/>
  <c r="R226" i="1" a="1"/>
  <c r="R226" i="1" s="1"/>
  <c r="S226" i="1" a="1"/>
  <c r="S226" i="1" s="1"/>
  <c r="R227" i="1" a="1"/>
  <c r="R227" i="1" s="1"/>
  <c r="S227" i="1" a="1"/>
  <c r="S227" i="1" s="1"/>
  <c r="R228" i="1" a="1"/>
  <c r="R228" i="1" s="1"/>
  <c r="S228" i="1" a="1"/>
  <c r="S228" i="1" s="1"/>
  <c r="R229" i="1" a="1"/>
  <c r="R229" i="1" s="1"/>
  <c r="S229" i="1" a="1"/>
  <c r="S229" i="1" s="1"/>
  <c r="R230" i="1" a="1"/>
  <c r="R230" i="1" s="1"/>
  <c r="S230" i="1" a="1"/>
  <c r="S230" i="1" s="1"/>
  <c r="R231" i="1" a="1"/>
  <c r="R231" i="1" s="1"/>
  <c r="S231" i="1" a="1"/>
  <c r="S231" i="1" s="1"/>
  <c r="R232" i="1" a="1"/>
  <c r="R232" i="1" s="1"/>
  <c r="S232" i="1" a="1"/>
  <c r="S232" i="1" s="1"/>
  <c r="R233" i="1" a="1"/>
  <c r="R233" i="1" s="1"/>
  <c r="S233" i="1" a="1"/>
  <c r="S233" i="1" s="1"/>
  <c r="R234" i="1" a="1"/>
  <c r="R234" i="1" s="1"/>
  <c r="S234" i="1" a="1"/>
  <c r="S234" i="1" s="1"/>
  <c r="R235" i="1" a="1"/>
  <c r="R235" i="1" s="1"/>
  <c r="S235" i="1" a="1"/>
  <c r="S235" i="1" s="1"/>
  <c r="R236" i="1" a="1"/>
  <c r="R236" i="1" s="1"/>
  <c r="S236" i="1" a="1"/>
  <c r="S236" i="1" s="1"/>
  <c r="R237" i="1" a="1"/>
  <c r="R237" i="1" s="1"/>
  <c r="S237" i="1" a="1"/>
  <c r="S237" i="1" s="1"/>
  <c r="R238" i="1" a="1"/>
  <c r="R238" i="1" s="1"/>
  <c r="S238" i="1" a="1"/>
  <c r="S238" i="1" s="1"/>
  <c r="R239" i="1" a="1"/>
  <c r="R239" i="1" s="1"/>
  <c r="S239" i="1" a="1"/>
  <c r="S239" i="1" s="1"/>
  <c r="R240" i="1" a="1"/>
  <c r="R240" i="1" s="1"/>
  <c r="S240" i="1" a="1"/>
  <c r="S240" i="1" s="1"/>
  <c r="R241" i="1" a="1"/>
  <c r="R241" i="1" s="1"/>
  <c r="S241" i="1" a="1"/>
  <c r="S241" i="1" s="1"/>
  <c r="R242" i="1" a="1"/>
  <c r="R242" i="1" s="1"/>
  <c r="S242" i="1" a="1"/>
  <c r="S242" i="1" s="1"/>
  <c r="R243" i="1" a="1"/>
  <c r="R243" i="1" s="1"/>
  <c r="S243" i="1" a="1"/>
  <c r="S243" i="1" s="1"/>
  <c r="R3" i="1" a="1"/>
  <c r="R3" i="1" s="1"/>
  <c r="S3" i="1" a="1"/>
  <c r="S3" i="1" s="1"/>
  <c r="R2" i="1"/>
  <c r="S2" i="1"/>
  <c r="F3" i="1"/>
  <c r="G3" i="1"/>
  <c r="H3" i="1"/>
  <c r="I3" i="1"/>
  <c r="J3" i="1"/>
  <c r="K3" i="1"/>
  <c r="L3" i="1"/>
  <c r="M3" i="1"/>
  <c r="N3" i="1"/>
  <c r="O3" i="1"/>
  <c r="P3" i="1"/>
  <c r="Q3" i="1"/>
  <c r="F4" i="1"/>
  <c r="G4" i="1"/>
  <c r="H4" i="1"/>
  <c r="I4" i="1"/>
  <c r="J4" i="1"/>
  <c r="K4" i="1"/>
  <c r="L4" i="1"/>
  <c r="M4" i="1"/>
  <c r="N4" i="1"/>
  <c r="O4" i="1"/>
  <c r="P4" i="1"/>
  <c r="Q4" i="1"/>
  <c r="F5" i="1"/>
  <c r="G5" i="1"/>
  <c r="H5" i="1"/>
  <c r="I5" i="1"/>
  <c r="J5" i="1"/>
  <c r="K5" i="1"/>
  <c r="L5" i="1"/>
  <c r="M5" i="1"/>
  <c r="N5" i="1"/>
  <c r="O5" i="1"/>
  <c r="P5" i="1"/>
  <c r="Q5" i="1"/>
  <c r="F6" i="1"/>
  <c r="G6" i="1"/>
  <c r="H6" i="1"/>
  <c r="I6" i="1"/>
  <c r="J6" i="1"/>
  <c r="K6" i="1"/>
  <c r="L6" i="1"/>
  <c r="M6" i="1"/>
  <c r="N6" i="1"/>
  <c r="O6" i="1"/>
  <c r="P6" i="1"/>
  <c r="Q6" i="1"/>
  <c r="F7" i="1"/>
  <c r="G7" i="1"/>
  <c r="H7" i="1"/>
  <c r="I7" i="1"/>
  <c r="J7" i="1"/>
  <c r="K7" i="1"/>
  <c r="L7" i="1"/>
  <c r="M7" i="1"/>
  <c r="N7" i="1"/>
  <c r="O7" i="1"/>
  <c r="P7" i="1"/>
  <c r="Q7" i="1"/>
  <c r="F8" i="1"/>
  <c r="G8" i="1"/>
  <c r="H8" i="1"/>
  <c r="I8" i="1"/>
  <c r="J8" i="1"/>
  <c r="K8" i="1"/>
  <c r="L8" i="1"/>
  <c r="M8" i="1"/>
  <c r="N8" i="1"/>
  <c r="O8" i="1"/>
  <c r="P8" i="1"/>
  <c r="Q8" i="1"/>
  <c r="F9" i="1"/>
  <c r="G9" i="1"/>
  <c r="H9" i="1"/>
  <c r="I9" i="1"/>
  <c r="J9" i="1"/>
  <c r="K9" i="1"/>
  <c r="L9" i="1"/>
  <c r="M9" i="1"/>
  <c r="N9" i="1"/>
  <c r="O9" i="1"/>
  <c r="P9" i="1"/>
  <c r="Q9" i="1"/>
  <c r="F10" i="1"/>
  <c r="G10" i="1"/>
  <c r="H10" i="1"/>
  <c r="I10" i="1"/>
  <c r="J10" i="1"/>
  <c r="K10" i="1"/>
  <c r="L10" i="1"/>
  <c r="M10" i="1"/>
  <c r="N10" i="1"/>
  <c r="O10" i="1"/>
  <c r="P10" i="1"/>
  <c r="Q10" i="1"/>
  <c r="F11" i="1"/>
  <c r="G11" i="1"/>
  <c r="H11" i="1"/>
  <c r="I11" i="1"/>
  <c r="J11" i="1"/>
  <c r="K11" i="1"/>
  <c r="L11" i="1"/>
  <c r="M11" i="1"/>
  <c r="N11" i="1"/>
  <c r="O11" i="1"/>
  <c r="P11" i="1"/>
  <c r="Q11" i="1"/>
  <c r="F12" i="1"/>
  <c r="G12" i="1"/>
  <c r="H12" i="1"/>
  <c r="I12" i="1"/>
  <c r="J12" i="1"/>
  <c r="K12" i="1"/>
  <c r="L12" i="1"/>
  <c r="M12" i="1"/>
  <c r="N12" i="1"/>
  <c r="O12" i="1"/>
  <c r="P12" i="1"/>
  <c r="Q12" i="1"/>
  <c r="F13" i="1"/>
  <c r="G13" i="1"/>
  <c r="H13" i="1"/>
  <c r="I13" i="1"/>
  <c r="J13" i="1"/>
  <c r="K13" i="1"/>
  <c r="L13" i="1"/>
  <c r="M13" i="1"/>
  <c r="N13" i="1"/>
  <c r="O13" i="1"/>
  <c r="P13" i="1"/>
  <c r="Q13" i="1"/>
  <c r="F14" i="1"/>
  <c r="G14" i="1"/>
  <c r="H14" i="1"/>
  <c r="I14" i="1"/>
  <c r="J14" i="1"/>
  <c r="K14" i="1"/>
  <c r="L14" i="1"/>
  <c r="M14" i="1"/>
  <c r="N14" i="1"/>
  <c r="O14" i="1"/>
  <c r="P14" i="1"/>
  <c r="Q14" i="1"/>
  <c r="F15" i="1"/>
  <c r="G15" i="1"/>
  <c r="H15" i="1"/>
  <c r="I15" i="1"/>
  <c r="J15" i="1"/>
  <c r="K15" i="1"/>
  <c r="L15" i="1"/>
  <c r="M15" i="1"/>
  <c r="N15" i="1"/>
  <c r="O15" i="1"/>
  <c r="P15" i="1"/>
  <c r="Q15" i="1"/>
  <c r="F16" i="1"/>
  <c r="G16" i="1"/>
  <c r="H16" i="1"/>
  <c r="I16" i="1"/>
  <c r="J16" i="1"/>
  <c r="K16" i="1"/>
  <c r="L16" i="1"/>
  <c r="M16" i="1"/>
  <c r="N16" i="1"/>
  <c r="O16" i="1"/>
  <c r="P16" i="1"/>
  <c r="Q16" i="1"/>
  <c r="F17" i="1"/>
  <c r="G17" i="1"/>
  <c r="H17" i="1"/>
  <c r="I17" i="1"/>
  <c r="J17" i="1"/>
  <c r="K17" i="1"/>
  <c r="L17" i="1"/>
  <c r="M17" i="1"/>
  <c r="N17" i="1"/>
  <c r="O17" i="1"/>
  <c r="P17" i="1"/>
  <c r="Q17" i="1"/>
  <c r="F18" i="1"/>
  <c r="G18" i="1"/>
  <c r="H18" i="1"/>
  <c r="I18" i="1"/>
  <c r="J18" i="1"/>
  <c r="K18" i="1"/>
  <c r="L18" i="1"/>
  <c r="M18" i="1"/>
  <c r="N18" i="1"/>
  <c r="O18" i="1"/>
  <c r="P18" i="1"/>
  <c r="Q18" i="1"/>
  <c r="F19" i="1"/>
  <c r="G19" i="1"/>
  <c r="H19" i="1"/>
  <c r="I19" i="1"/>
  <c r="J19" i="1"/>
  <c r="K19" i="1"/>
  <c r="L19" i="1"/>
  <c r="M19" i="1"/>
  <c r="N19" i="1"/>
  <c r="O19" i="1"/>
  <c r="P19" i="1"/>
  <c r="Q19" i="1"/>
  <c r="F20" i="1"/>
  <c r="G20" i="1"/>
  <c r="H20" i="1"/>
  <c r="I20" i="1"/>
  <c r="J20" i="1"/>
  <c r="K20" i="1"/>
  <c r="L20" i="1"/>
  <c r="M20" i="1"/>
  <c r="N20" i="1"/>
  <c r="O20" i="1"/>
  <c r="P20" i="1"/>
  <c r="Q20" i="1"/>
  <c r="F21" i="1"/>
  <c r="G21" i="1"/>
  <c r="H21" i="1"/>
  <c r="I21" i="1"/>
  <c r="J21" i="1"/>
  <c r="K21" i="1"/>
  <c r="L21" i="1"/>
  <c r="M21" i="1"/>
  <c r="N21" i="1"/>
  <c r="O21" i="1"/>
  <c r="P21" i="1"/>
  <c r="Q21" i="1"/>
  <c r="F22" i="1"/>
  <c r="G22" i="1"/>
  <c r="H22" i="1"/>
  <c r="I22" i="1"/>
  <c r="J22" i="1"/>
  <c r="K22" i="1"/>
  <c r="L22" i="1"/>
  <c r="M22" i="1"/>
  <c r="N22" i="1"/>
  <c r="O22" i="1"/>
  <c r="P22" i="1"/>
  <c r="Q22" i="1"/>
  <c r="F23" i="1"/>
  <c r="G23" i="1"/>
  <c r="H23" i="1"/>
  <c r="I23" i="1"/>
  <c r="J23" i="1"/>
  <c r="K23" i="1"/>
  <c r="L23" i="1"/>
  <c r="M23" i="1"/>
  <c r="N23" i="1"/>
  <c r="O23" i="1"/>
  <c r="P23" i="1"/>
  <c r="Q23" i="1"/>
  <c r="F24" i="1"/>
  <c r="G24" i="1"/>
  <c r="H24" i="1"/>
  <c r="I24" i="1"/>
  <c r="J24" i="1"/>
  <c r="K24" i="1"/>
  <c r="L24" i="1"/>
  <c r="M24" i="1"/>
  <c r="N24" i="1"/>
  <c r="O24" i="1"/>
  <c r="P24" i="1"/>
  <c r="Q24" i="1"/>
  <c r="F25" i="1"/>
  <c r="G25" i="1"/>
  <c r="H25" i="1"/>
  <c r="I25" i="1"/>
  <c r="J25" i="1"/>
  <c r="K25" i="1"/>
  <c r="L25" i="1"/>
  <c r="M25" i="1"/>
  <c r="N25" i="1"/>
  <c r="O25" i="1"/>
  <c r="P25" i="1"/>
  <c r="Q25" i="1"/>
  <c r="F26" i="1"/>
  <c r="G26" i="1"/>
  <c r="H26" i="1"/>
  <c r="I26" i="1"/>
  <c r="J26" i="1"/>
  <c r="K26" i="1"/>
  <c r="L26" i="1"/>
  <c r="M26" i="1"/>
  <c r="N26" i="1"/>
  <c r="O26" i="1"/>
  <c r="P26" i="1"/>
  <c r="Q26" i="1"/>
  <c r="F27" i="1"/>
  <c r="G27" i="1"/>
  <c r="H27" i="1"/>
  <c r="I27" i="1"/>
  <c r="J27" i="1"/>
  <c r="K27" i="1"/>
  <c r="L27" i="1"/>
  <c r="M27" i="1"/>
  <c r="N27" i="1"/>
  <c r="O27" i="1"/>
  <c r="P27" i="1"/>
  <c r="Q27" i="1"/>
  <c r="F28" i="1"/>
  <c r="G28" i="1"/>
  <c r="H28" i="1"/>
  <c r="I28" i="1"/>
  <c r="J28" i="1"/>
  <c r="K28" i="1"/>
  <c r="L28" i="1"/>
  <c r="M28" i="1"/>
  <c r="N28" i="1"/>
  <c r="O28" i="1"/>
  <c r="P28" i="1"/>
  <c r="Q28" i="1"/>
  <c r="F29" i="1"/>
  <c r="G29" i="1"/>
  <c r="H29" i="1"/>
  <c r="I29" i="1"/>
  <c r="J29" i="1"/>
  <c r="K29" i="1"/>
  <c r="L29" i="1"/>
  <c r="M29" i="1"/>
  <c r="N29" i="1"/>
  <c r="O29" i="1"/>
  <c r="P29" i="1"/>
  <c r="Q29" i="1"/>
  <c r="F30" i="1"/>
  <c r="G30" i="1"/>
  <c r="H30" i="1"/>
  <c r="I30" i="1"/>
  <c r="J30" i="1"/>
  <c r="K30" i="1"/>
  <c r="L30" i="1"/>
  <c r="M30" i="1"/>
  <c r="N30" i="1"/>
  <c r="O30" i="1"/>
  <c r="P30" i="1"/>
  <c r="Q30" i="1"/>
  <c r="F31" i="1"/>
  <c r="G31" i="1"/>
  <c r="H31" i="1"/>
  <c r="I31" i="1"/>
  <c r="J31" i="1"/>
  <c r="K31" i="1"/>
  <c r="L31" i="1"/>
  <c r="M31" i="1"/>
  <c r="N31" i="1"/>
  <c r="O31" i="1"/>
  <c r="P31" i="1"/>
  <c r="Q31" i="1"/>
  <c r="F32" i="1"/>
  <c r="G32" i="1"/>
  <c r="H32" i="1"/>
  <c r="I32" i="1"/>
  <c r="J32" i="1"/>
  <c r="K32" i="1"/>
  <c r="L32" i="1"/>
  <c r="M32" i="1"/>
  <c r="N32" i="1"/>
  <c r="O32" i="1"/>
  <c r="P32" i="1"/>
  <c r="Q32" i="1"/>
  <c r="F33" i="1"/>
  <c r="G33" i="1"/>
  <c r="H33" i="1"/>
  <c r="I33" i="1"/>
  <c r="J33" i="1"/>
  <c r="K33" i="1"/>
  <c r="L33" i="1"/>
  <c r="M33" i="1"/>
  <c r="N33" i="1"/>
  <c r="O33" i="1"/>
  <c r="P33" i="1"/>
  <c r="Q33" i="1"/>
  <c r="F34" i="1"/>
  <c r="G34" i="1"/>
  <c r="H34" i="1"/>
  <c r="I34" i="1"/>
  <c r="J34" i="1"/>
  <c r="K34" i="1"/>
  <c r="L34" i="1"/>
  <c r="M34" i="1"/>
  <c r="N34" i="1"/>
  <c r="O34" i="1"/>
  <c r="P34" i="1"/>
  <c r="Q34" i="1"/>
  <c r="F35" i="1"/>
  <c r="G35" i="1"/>
  <c r="H35" i="1"/>
  <c r="I35" i="1"/>
  <c r="J35" i="1"/>
  <c r="K35" i="1"/>
  <c r="L35" i="1"/>
  <c r="M35" i="1"/>
  <c r="N35" i="1"/>
  <c r="O35" i="1"/>
  <c r="P35" i="1"/>
  <c r="Q35" i="1"/>
  <c r="F36" i="1"/>
  <c r="G36" i="1"/>
  <c r="H36" i="1"/>
  <c r="I36" i="1"/>
  <c r="J36" i="1"/>
  <c r="K36" i="1"/>
  <c r="L36" i="1"/>
  <c r="M36" i="1"/>
  <c r="N36" i="1"/>
  <c r="O36" i="1"/>
  <c r="P36" i="1"/>
  <c r="Q36" i="1"/>
  <c r="F37" i="1"/>
  <c r="G37" i="1"/>
  <c r="H37" i="1"/>
  <c r="I37" i="1"/>
  <c r="J37" i="1"/>
  <c r="K37" i="1"/>
  <c r="L37" i="1"/>
  <c r="M37" i="1"/>
  <c r="N37" i="1"/>
  <c r="O37" i="1"/>
  <c r="P37" i="1"/>
  <c r="Q37" i="1"/>
  <c r="F38" i="1"/>
  <c r="G38" i="1"/>
  <c r="H38" i="1"/>
  <c r="I38" i="1"/>
  <c r="J38" i="1"/>
  <c r="K38" i="1"/>
  <c r="L38" i="1"/>
  <c r="M38" i="1"/>
  <c r="N38" i="1"/>
  <c r="O38" i="1"/>
  <c r="P38" i="1"/>
  <c r="Q38" i="1"/>
  <c r="F39" i="1"/>
  <c r="G39" i="1"/>
  <c r="H39" i="1"/>
  <c r="I39" i="1"/>
  <c r="J39" i="1"/>
  <c r="K39" i="1"/>
  <c r="L39" i="1"/>
  <c r="M39" i="1"/>
  <c r="N39" i="1"/>
  <c r="O39" i="1"/>
  <c r="P39" i="1"/>
  <c r="Q39" i="1"/>
  <c r="F40" i="1"/>
  <c r="G40" i="1"/>
  <c r="H40" i="1"/>
  <c r="I40" i="1"/>
  <c r="J40" i="1"/>
  <c r="K40" i="1"/>
  <c r="L40" i="1"/>
  <c r="M40" i="1"/>
  <c r="N40" i="1"/>
  <c r="O40" i="1"/>
  <c r="P40" i="1"/>
  <c r="Q40" i="1"/>
  <c r="F41" i="1"/>
  <c r="G41" i="1"/>
  <c r="H41" i="1"/>
  <c r="I41" i="1"/>
  <c r="J41" i="1"/>
  <c r="K41" i="1"/>
  <c r="L41" i="1"/>
  <c r="M41" i="1"/>
  <c r="N41" i="1"/>
  <c r="O41" i="1"/>
  <c r="P41" i="1"/>
  <c r="Q41" i="1"/>
  <c r="F42" i="1"/>
  <c r="G42" i="1"/>
  <c r="H42" i="1"/>
  <c r="I42" i="1"/>
  <c r="J42" i="1"/>
  <c r="K42" i="1"/>
  <c r="L42" i="1"/>
  <c r="M42" i="1"/>
  <c r="N42" i="1"/>
  <c r="O42" i="1"/>
  <c r="P42" i="1"/>
  <c r="Q42" i="1"/>
  <c r="F43" i="1"/>
  <c r="G43" i="1"/>
  <c r="H43" i="1"/>
  <c r="I43" i="1"/>
  <c r="J43" i="1"/>
  <c r="K43" i="1"/>
  <c r="L43" i="1"/>
  <c r="M43" i="1"/>
  <c r="N43" i="1"/>
  <c r="O43" i="1"/>
  <c r="P43" i="1"/>
  <c r="Q43" i="1"/>
  <c r="F44" i="1"/>
  <c r="G44" i="1"/>
  <c r="H44" i="1"/>
  <c r="I44" i="1"/>
  <c r="J44" i="1"/>
  <c r="K44" i="1"/>
  <c r="L44" i="1"/>
  <c r="M44" i="1"/>
  <c r="N44" i="1"/>
  <c r="O44" i="1"/>
  <c r="P44" i="1"/>
  <c r="Q44" i="1"/>
  <c r="F45" i="1"/>
  <c r="G45" i="1"/>
  <c r="H45" i="1"/>
  <c r="I45" i="1"/>
  <c r="J45" i="1"/>
  <c r="K45" i="1"/>
  <c r="L45" i="1"/>
  <c r="M45" i="1"/>
  <c r="N45" i="1"/>
  <c r="O45" i="1"/>
  <c r="P45" i="1"/>
  <c r="Q45" i="1"/>
  <c r="F46" i="1"/>
  <c r="G46" i="1"/>
  <c r="H46" i="1"/>
  <c r="I46" i="1"/>
  <c r="J46" i="1"/>
  <c r="K46" i="1"/>
  <c r="L46" i="1"/>
  <c r="M46" i="1"/>
  <c r="N46" i="1"/>
  <c r="O46" i="1"/>
  <c r="P46" i="1"/>
  <c r="Q46" i="1"/>
  <c r="F47" i="1"/>
  <c r="G47" i="1"/>
  <c r="H47" i="1"/>
  <c r="I47" i="1"/>
  <c r="J47" i="1"/>
  <c r="K47" i="1"/>
  <c r="L47" i="1"/>
  <c r="M47" i="1"/>
  <c r="N47" i="1"/>
  <c r="O47" i="1"/>
  <c r="P47" i="1"/>
  <c r="Q47" i="1"/>
  <c r="F48" i="1"/>
  <c r="G48" i="1"/>
  <c r="H48" i="1"/>
  <c r="I48" i="1"/>
  <c r="J48" i="1"/>
  <c r="K48" i="1"/>
  <c r="L48" i="1"/>
  <c r="M48" i="1"/>
  <c r="N48" i="1"/>
  <c r="O48" i="1"/>
  <c r="P48" i="1"/>
  <c r="Q48" i="1"/>
  <c r="F49" i="1"/>
  <c r="G49" i="1"/>
  <c r="H49" i="1"/>
  <c r="I49" i="1"/>
  <c r="J49" i="1"/>
  <c r="K49" i="1"/>
  <c r="L49" i="1"/>
  <c r="M49" i="1"/>
  <c r="N49" i="1"/>
  <c r="O49" i="1"/>
  <c r="P49" i="1"/>
  <c r="Q49" i="1"/>
  <c r="F50" i="1"/>
  <c r="G50" i="1"/>
  <c r="H50" i="1"/>
  <c r="I50" i="1"/>
  <c r="J50" i="1"/>
  <c r="K50" i="1"/>
  <c r="L50" i="1"/>
  <c r="M50" i="1"/>
  <c r="N50" i="1"/>
  <c r="O50" i="1"/>
  <c r="P50" i="1"/>
  <c r="Q50" i="1"/>
  <c r="F51" i="1"/>
  <c r="G51" i="1"/>
  <c r="H51" i="1"/>
  <c r="I51" i="1"/>
  <c r="J51" i="1"/>
  <c r="K51" i="1"/>
  <c r="L51" i="1"/>
  <c r="M51" i="1"/>
  <c r="N51" i="1"/>
  <c r="O51" i="1"/>
  <c r="P51" i="1"/>
  <c r="Q51" i="1"/>
  <c r="F52" i="1"/>
  <c r="G52" i="1"/>
  <c r="H52" i="1"/>
  <c r="I52" i="1"/>
  <c r="J52" i="1"/>
  <c r="K52" i="1"/>
  <c r="L52" i="1"/>
  <c r="M52" i="1"/>
  <c r="N52" i="1"/>
  <c r="O52" i="1"/>
  <c r="P52" i="1"/>
  <c r="Q52" i="1"/>
  <c r="F53" i="1"/>
  <c r="G53" i="1"/>
  <c r="H53" i="1"/>
  <c r="I53" i="1"/>
  <c r="J53" i="1"/>
  <c r="K53" i="1"/>
  <c r="L53" i="1"/>
  <c r="M53" i="1"/>
  <c r="N53" i="1"/>
  <c r="O53" i="1"/>
  <c r="P53" i="1"/>
  <c r="Q53" i="1"/>
  <c r="F54" i="1"/>
  <c r="G54" i="1"/>
  <c r="H54" i="1"/>
  <c r="I54" i="1"/>
  <c r="J54" i="1"/>
  <c r="K54" i="1"/>
  <c r="L54" i="1"/>
  <c r="M54" i="1"/>
  <c r="N54" i="1"/>
  <c r="O54" i="1"/>
  <c r="P54" i="1"/>
  <c r="Q54" i="1"/>
  <c r="F55" i="1"/>
  <c r="G55" i="1"/>
  <c r="H55" i="1"/>
  <c r="I55" i="1"/>
  <c r="J55" i="1"/>
  <c r="K55" i="1"/>
  <c r="L55" i="1"/>
  <c r="M55" i="1"/>
  <c r="N55" i="1"/>
  <c r="O55" i="1"/>
  <c r="P55" i="1"/>
  <c r="Q55" i="1"/>
  <c r="F56" i="1"/>
  <c r="G56" i="1"/>
  <c r="H56" i="1"/>
  <c r="I56" i="1"/>
  <c r="J56" i="1"/>
  <c r="K56" i="1"/>
  <c r="L56" i="1"/>
  <c r="M56" i="1"/>
  <c r="N56" i="1"/>
  <c r="O56" i="1"/>
  <c r="P56" i="1"/>
  <c r="Q56" i="1"/>
  <c r="F57" i="1"/>
  <c r="G57" i="1"/>
  <c r="H57" i="1"/>
  <c r="I57" i="1"/>
  <c r="J57" i="1"/>
  <c r="K57" i="1"/>
  <c r="L57" i="1"/>
  <c r="M57" i="1"/>
  <c r="N57" i="1"/>
  <c r="O57" i="1"/>
  <c r="P57" i="1"/>
  <c r="Q57" i="1"/>
  <c r="F58" i="1"/>
  <c r="G58" i="1"/>
  <c r="H58" i="1"/>
  <c r="I58" i="1"/>
  <c r="J58" i="1"/>
  <c r="K58" i="1"/>
  <c r="L58" i="1"/>
  <c r="M58" i="1"/>
  <c r="N58" i="1"/>
  <c r="O58" i="1"/>
  <c r="P58" i="1"/>
  <c r="Q58" i="1"/>
  <c r="F59" i="1"/>
  <c r="G59" i="1"/>
  <c r="H59" i="1"/>
  <c r="I59" i="1"/>
  <c r="J59" i="1"/>
  <c r="K59" i="1"/>
  <c r="L59" i="1"/>
  <c r="M59" i="1"/>
  <c r="N59" i="1"/>
  <c r="O59" i="1"/>
  <c r="P59" i="1"/>
  <c r="Q59" i="1"/>
  <c r="F60" i="1"/>
  <c r="G60" i="1"/>
  <c r="H60" i="1"/>
  <c r="I60" i="1"/>
  <c r="J60" i="1"/>
  <c r="K60" i="1"/>
  <c r="L60" i="1"/>
  <c r="M60" i="1"/>
  <c r="N60" i="1"/>
  <c r="O60" i="1"/>
  <c r="P60" i="1"/>
  <c r="Q60" i="1"/>
  <c r="F61" i="1"/>
  <c r="G61" i="1"/>
  <c r="H61" i="1"/>
  <c r="I61" i="1"/>
  <c r="J61" i="1"/>
  <c r="K61" i="1"/>
  <c r="L61" i="1"/>
  <c r="M61" i="1"/>
  <c r="N61" i="1"/>
  <c r="O61" i="1"/>
  <c r="P61" i="1"/>
  <c r="Q61" i="1"/>
  <c r="F62" i="1"/>
  <c r="G62" i="1"/>
  <c r="H62" i="1"/>
  <c r="I62" i="1"/>
  <c r="J62" i="1"/>
  <c r="K62" i="1"/>
  <c r="L62" i="1"/>
  <c r="M62" i="1"/>
  <c r="N62" i="1"/>
  <c r="O62" i="1"/>
  <c r="P62" i="1"/>
  <c r="Q62" i="1"/>
  <c r="F63" i="1"/>
  <c r="G63" i="1"/>
  <c r="H63" i="1"/>
  <c r="I63" i="1"/>
  <c r="J63" i="1"/>
  <c r="K63" i="1"/>
  <c r="L63" i="1"/>
  <c r="M63" i="1"/>
  <c r="N63" i="1"/>
  <c r="O63" i="1"/>
  <c r="P63" i="1"/>
  <c r="Q63" i="1"/>
  <c r="F64" i="1"/>
  <c r="G64" i="1"/>
  <c r="H64" i="1"/>
  <c r="I64" i="1"/>
  <c r="J64" i="1"/>
  <c r="K64" i="1"/>
  <c r="L64" i="1"/>
  <c r="M64" i="1"/>
  <c r="N64" i="1"/>
  <c r="O64" i="1"/>
  <c r="P64" i="1"/>
  <c r="Q64" i="1"/>
  <c r="F65" i="1"/>
  <c r="G65" i="1"/>
  <c r="H65" i="1"/>
  <c r="I65" i="1"/>
  <c r="J65" i="1"/>
  <c r="K65" i="1"/>
  <c r="L65" i="1"/>
  <c r="M65" i="1"/>
  <c r="N65" i="1"/>
  <c r="O65" i="1"/>
  <c r="P65" i="1"/>
  <c r="Q65" i="1"/>
  <c r="F66" i="1"/>
  <c r="G66" i="1"/>
  <c r="H66" i="1"/>
  <c r="I66" i="1"/>
  <c r="J66" i="1"/>
  <c r="K66" i="1"/>
  <c r="L66" i="1"/>
  <c r="M66" i="1"/>
  <c r="N66" i="1"/>
  <c r="O66" i="1"/>
  <c r="P66" i="1"/>
  <c r="Q66" i="1"/>
  <c r="F67" i="1"/>
  <c r="G67" i="1"/>
  <c r="H67" i="1"/>
  <c r="I67" i="1"/>
  <c r="J67" i="1"/>
  <c r="K67" i="1"/>
  <c r="L67" i="1"/>
  <c r="M67" i="1"/>
  <c r="N67" i="1"/>
  <c r="O67" i="1"/>
  <c r="P67" i="1"/>
  <c r="Q67" i="1"/>
  <c r="F68" i="1"/>
  <c r="G68" i="1"/>
  <c r="H68" i="1"/>
  <c r="I68" i="1"/>
  <c r="J68" i="1"/>
  <c r="K68" i="1"/>
  <c r="L68" i="1"/>
  <c r="M68" i="1"/>
  <c r="N68" i="1"/>
  <c r="O68" i="1"/>
  <c r="P68" i="1"/>
  <c r="Q68" i="1"/>
  <c r="F69" i="1"/>
  <c r="G69" i="1"/>
  <c r="H69" i="1"/>
  <c r="I69" i="1"/>
  <c r="J69" i="1"/>
  <c r="K69" i="1"/>
  <c r="L69" i="1"/>
  <c r="M69" i="1"/>
  <c r="N69" i="1"/>
  <c r="O69" i="1"/>
  <c r="P69" i="1"/>
  <c r="Q69" i="1"/>
  <c r="F70" i="1"/>
  <c r="G70" i="1"/>
  <c r="H70" i="1"/>
  <c r="I70" i="1"/>
  <c r="J70" i="1"/>
  <c r="K70" i="1"/>
  <c r="L70" i="1"/>
  <c r="M70" i="1"/>
  <c r="N70" i="1"/>
  <c r="O70" i="1"/>
  <c r="P70" i="1"/>
  <c r="Q70" i="1"/>
  <c r="F71" i="1"/>
  <c r="G71" i="1"/>
  <c r="H71" i="1"/>
  <c r="I71" i="1"/>
  <c r="J71" i="1"/>
  <c r="K71" i="1"/>
  <c r="L71" i="1"/>
  <c r="M71" i="1"/>
  <c r="N71" i="1"/>
  <c r="O71" i="1"/>
  <c r="P71" i="1"/>
  <c r="Q71" i="1"/>
  <c r="F72" i="1"/>
  <c r="G72" i="1"/>
  <c r="H72" i="1"/>
  <c r="I72" i="1"/>
  <c r="J72" i="1"/>
  <c r="K72" i="1"/>
  <c r="L72" i="1"/>
  <c r="M72" i="1"/>
  <c r="N72" i="1"/>
  <c r="O72" i="1"/>
  <c r="P72" i="1"/>
  <c r="Q72" i="1"/>
  <c r="F73" i="1"/>
  <c r="G73" i="1"/>
  <c r="H73" i="1"/>
  <c r="I73" i="1"/>
  <c r="J73" i="1"/>
  <c r="K73" i="1"/>
  <c r="L73" i="1"/>
  <c r="M73" i="1"/>
  <c r="N73" i="1"/>
  <c r="O73" i="1"/>
  <c r="P73" i="1"/>
  <c r="Q73" i="1"/>
  <c r="F74" i="1"/>
  <c r="G74" i="1"/>
  <c r="H74" i="1"/>
  <c r="I74" i="1"/>
  <c r="J74" i="1"/>
  <c r="K74" i="1"/>
  <c r="L74" i="1"/>
  <c r="M74" i="1"/>
  <c r="N74" i="1"/>
  <c r="O74" i="1"/>
  <c r="P74" i="1"/>
  <c r="Q74" i="1"/>
  <c r="F75" i="1"/>
  <c r="G75" i="1"/>
  <c r="H75" i="1"/>
  <c r="I75" i="1"/>
  <c r="J75" i="1"/>
  <c r="K75" i="1"/>
  <c r="L75" i="1"/>
  <c r="M75" i="1"/>
  <c r="N75" i="1"/>
  <c r="O75" i="1"/>
  <c r="P75" i="1"/>
  <c r="Q75" i="1"/>
  <c r="F76" i="1"/>
  <c r="G76" i="1"/>
  <c r="H76" i="1"/>
  <c r="I76" i="1"/>
  <c r="J76" i="1"/>
  <c r="K76" i="1"/>
  <c r="L76" i="1"/>
  <c r="M76" i="1"/>
  <c r="N76" i="1"/>
  <c r="O76" i="1"/>
  <c r="P76" i="1"/>
  <c r="Q76" i="1"/>
  <c r="F77" i="1"/>
  <c r="G77" i="1"/>
  <c r="H77" i="1"/>
  <c r="I77" i="1"/>
  <c r="J77" i="1"/>
  <c r="K77" i="1"/>
  <c r="L77" i="1"/>
  <c r="M77" i="1"/>
  <c r="N77" i="1"/>
  <c r="O77" i="1"/>
  <c r="P77" i="1"/>
  <c r="Q77" i="1"/>
  <c r="F78" i="1"/>
  <c r="G78" i="1"/>
  <c r="H78" i="1"/>
  <c r="I78" i="1"/>
  <c r="J78" i="1"/>
  <c r="K78" i="1"/>
  <c r="L78" i="1"/>
  <c r="M78" i="1"/>
  <c r="N78" i="1"/>
  <c r="O78" i="1"/>
  <c r="P78" i="1"/>
  <c r="Q78" i="1"/>
  <c r="F79" i="1"/>
  <c r="G79" i="1"/>
  <c r="H79" i="1"/>
  <c r="I79" i="1"/>
  <c r="J79" i="1"/>
  <c r="K79" i="1"/>
  <c r="L79" i="1"/>
  <c r="M79" i="1"/>
  <c r="N79" i="1"/>
  <c r="O79" i="1"/>
  <c r="P79" i="1"/>
  <c r="Q79" i="1"/>
  <c r="F80" i="1"/>
  <c r="G80" i="1"/>
  <c r="H80" i="1"/>
  <c r="I80" i="1"/>
  <c r="J80" i="1"/>
  <c r="K80" i="1"/>
  <c r="L80" i="1"/>
  <c r="M80" i="1"/>
  <c r="N80" i="1"/>
  <c r="O80" i="1"/>
  <c r="P80" i="1"/>
  <c r="Q80" i="1"/>
  <c r="F81" i="1"/>
  <c r="G81" i="1"/>
  <c r="H81" i="1"/>
  <c r="I81" i="1"/>
  <c r="J81" i="1"/>
  <c r="K81" i="1"/>
  <c r="L81" i="1"/>
  <c r="M81" i="1"/>
  <c r="N81" i="1"/>
  <c r="O81" i="1"/>
  <c r="P81" i="1"/>
  <c r="Q81" i="1"/>
  <c r="F82" i="1"/>
  <c r="G82" i="1"/>
  <c r="H82" i="1"/>
  <c r="I82" i="1"/>
  <c r="J82" i="1"/>
  <c r="K82" i="1"/>
  <c r="L82" i="1"/>
  <c r="M82" i="1"/>
  <c r="N82" i="1"/>
  <c r="O82" i="1"/>
  <c r="P82" i="1"/>
  <c r="Q82" i="1"/>
  <c r="F83" i="1"/>
  <c r="G83" i="1"/>
  <c r="H83" i="1"/>
  <c r="I83" i="1"/>
  <c r="J83" i="1"/>
  <c r="K83" i="1"/>
  <c r="L83" i="1"/>
  <c r="M83" i="1"/>
  <c r="N83" i="1"/>
  <c r="O83" i="1"/>
  <c r="P83" i="1"/>
  <c r="Q83" i="1"/>
  <c r="F84" i="1"/>
  <c r="G84" i="1"/>
  <c r="H84" i="1"/>
  <c r="I84" i="1"/>
  <c r="J84" i="1"/>
  <c r="K84" i="1"/>
  <c r="L84" i="1"/>
  <c r="M84" i="1"/>
  <c r="N84" i="1"/>
  <c r="O84" i="1"/>
  <c r="P84" i="1"/>
  <c r="Q84" i="1"/>
  <c r="F85" i="1"/>
  <c r="G85" i="1"/>
  <c r="H85" i="1"/>
  <c r="I85" i="1"/>
  <c r="J85" i="1"/>
  <c r="K85" i="1"/>
  <c r="L85" i="1"/>
  <c r="M85" i="1"/>
  <c r="N85" i="1"/>
  <c r="O85" i="1"/>
  <c r="P85" i="1"/>
  <c r="Q85" i="1"/>
  <c r="F86" i="1"/>
  <c r="G86" i="1"/>
  <c r="H86" i="1"/>
  <c r="I86" i="1"/>
  <c r="J86" i="1"/>
  <c r="K86" i="1"/>
  <c r="L86" i="1"/>
  <c r="M86" i="1"/>
  <c r="N86" i="1"/>
  <c r="O86" i="1"/>
  <c r="P86" i="1"/>
  <c r="Q86" i="1"/>
  <c r="F87" i="1"/>
  <c r="G87" i="1"/>
  <c r="H87" i="1"/>
  <c r="I87" i="1"/>
  <c r="J87" i="1"/>
  <c r="K87" i="1"/>
  <c r="L87" i="1"/>
  <c r="M87" i="1"/>
  <c r="N87" i="1"/>
  <c r="O87" i="1"/>
  <c r="P87" i="1"/>
  <c r="Q87" i="1"/>
  <c r="F88" i="1"/>
  <c r="G88" i="1"/>
  <c r="H88" i="1"/>
  <c r="I88" i="1"/>
  <c r="J88" i="1"/>
  <c r="K88" i="1"/>
  <c r="L88" i="1"/>
  <c r="M88" i="1"/>
  <c r="N88" i="1"/>
  <c r="O88" i="1"/>
  <c r="P88" i="1"/>
  <c r="Q88" i="1"/>
  <c r="F89" i="1"/>
  <c r="G89" i="1"/>
  <c r="H89" i="1"/>
  <c r="I89" i="1"/>
  <c r="J89" i="1"/>
  <c r="K89" i="1"/>
  <c r="L89" i="1"/>
  <c r="M89" i="1"/>
  <c r="N89" i="1"/>
  <c r="O89" i="1"/>
  <c r="P89" i="1"/>
  <c r="Q89" i="1"/>
  <c r="F90" i="1"/>
  <c r="G90" i="1"/>
  <c r="H90" i="1"/>
  <c r="I90" i="1"/>
  <c r="J90" i="1"/>
  <c r="K90" i="1"/>
  <c r="L90" i="1"/>
  <c r="M90" i="1"/>
  <c r="N90" i="1"/>
  <c r="O90" i="1"/>
  <c r="P90" i="1"/>
  <c r="Q90" i="1"/>
  <c r="F91" i="1"/>
  <c r="G91" i="1"/>
  <c r="H91" i="1"/>
  <c r="I91" i="1"/>
  <c r="J91" i="1"/>
  <c r="K91" i="1"/>
  <c r="L91" i="1"/>
  <c r="M91" i="1"/>
  <c r="N91" i="1"/>
  <c r="O91" i="1"/>
  <c r="P91" i="1"/>
  <c r="Q91" i="1"/>
  <c r="F92" i="1"/>
  <c r="G92" i="1"/>
  <c r="H92" i="1"/>
  <c r="I92" i="1"/>
  <c r="J92" i="1"/>
  <c r="K92" i="1"/>
  <c r="L92" i="1"/>
  <c r="M92" i="1"/>
  <c r="N92" i="1"/>
  <c r="O92" i="1"/>
  <c r="P92" i="1"/>
  <c r="Q92" i="1"/>
  <c r="F93" i="1"/>
  <c r="G93" i="1"/>
  <c r="H93" i="1"/>
  <c r="I93" i="1"/>
  <c r="J93" i="1"/>
  <c r="K93" i="1"/>
  <c r="L93" i="1"/>
  <c r="M93" i="1"/>
  <c r="N93" i="1"/>
  <c r="O93" i="1"/>
  <c r="P93" i="1"/>
  <c r="Q93" i="1"/>
  <c r="F94" i="1"/>
  <c r="G94" i="1"/>
  <c r="H94" i="1"/>
  <c r="I94" i="1"/>
  <c r="J94" i="1"/>
  <c r="K94" i="1"/>
  <c r="L94" i="1"/>
  <c r="M94" i="1"/>
  <c r="N94" i="1"/>
  <c r="O94" i="1"/>
  <c r="P94" i="1"/>
  <c r="Q94" i="1"/>
  <c r="F95" i="1"/>
  <c r="G95" i="1"/>
  <c r="H95" i="1"/>
  <c r="I95" i="1"/>
  <c r="J95" i="1"/>
  <c r="K95" i="1"/>
  <c r="L95" i="1"/>
  <c r="M95" i="1"/>
  <c r="N95" i="1"/>
  <c r="O95" i="1"/>
  <c r="P95" i="1"/>
  <c r="Q95" i="1"/>
  <c r="F96" i="1"/>
  <c r="G96" i="1"/>
  <c r="H96" i="1"/>
  <c r="I96" i="1"/>
  <c r="J96" i="1"/>
  <c r="K96" i="1"/>
  <c r="L96" i="1"/>
  <c r="M96" i="1"/>
  <c r="N96" i="1"/>
  <c r="O96" i="1"/>
  <c r="P96" i="1"/>
  <c r="Q96" i="1"/>
  <c r="F97" i="1"/>
  <c r="G97" i="1"/>
  <c r="H97" i="1"/>
  <c r="I97" i="1"/>
  <c r="J97" i="1"/>
  <c r="K97" i="1"/>
  <c r="L97" i="1"/>
  <c r="M97" i="1"/>
  <c r="N97" i="1"/>
  <c r="O97" i="1"/>
  <c r="P97" i="1"/>
  <c r="Q97" i="1"/>
  <c r="F98" i="1"/>
  <c r="G98" i="1"/>
  <c r="H98" i="1"/>
  <c r="I98" i="1"/>
  <c r="J98" i="1"/>
  <c r="K98" i="1"/>
  <c r="L98" i="1"/>
  <c r="M98" i="1"/>
  <c r="N98" i="1"/>
  <c r="O98" i="1"/>
  <c r="P98" i="1"/>
  <c r="Q98" i="1"/>
  <c r="F99" i="1"/>
  <c r="G99" i="1"/>
  <c r="H99" i="1"/>
  <c r="I99" i="1"/>
  <c r="J99" i="1"/>
  <c r="K99" i="1"/>
  <c r="L99" i="1"/>
  <c r="M99" i="1"/>
  <c r="N99" i="1"/>
  <c r="O99" i="1"/>
  <c r="P99" i="1"/>
  <c r="Q99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G2" i="1"/>
  <c r="H2" i="1"/>
  <c r="I2" i="1"/>
  <c r="J2" i="1"/>
  <c r="K2" i="1"/>
  <c r="L2" i="1"/>
  <c r="M2" i="1"/>
  <c r="N2" i="1"/>
  <c r="O2" i="1"/>
  <c r="P2" i="1"/>
  <c r="Q2" i="1"/>
  <c r="F2" i="1"/>
  <c r="B18" i="2"/>
  <c r="C18" i="2" s="1"/>
  <c r="B17" i="2"/>
  <c r="C17" i="2" s="1"/>
  <c r="B16" i="2"/>
  <c r="C16" i="2" s="1"/>
  <c r="B15" i="2"/>
  <c r="C15" i="2" s="1"/>
  <c r="B14" i="2"/>
  <c r="B19" i="2" s="1"/>
  <c r="C19" i="2" s="1"/>
  <c r="B10" i="2"/>
  <c r="C10" i="2" s="1"/>
  <c r="B9" i="2"/>
  <c r="B8" i="2"/>
  <c r="B7" i="2"/>
  <c r="B6" i="2"/>
  <c r="B5" i="2"/>
  <c r="B42" i="2" l="1"/>
  <c r="C42" i="2"/>
  <c r="C39" i="2"/>
  <c r="B39" i="2"/>
  <c r="C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<sst xmlns="http://schemas.openxmlformats.org/spreadsheetml/2006/main" count="785" uniqueCount="476">
  <si>
    <t>Fecha</t>
  </si>
  <si>
    <t>Dias que dura</t>
  </si>
  <si>
    <t>Composicion</t>
  </si>
  <si>
    <t>Cambio</t>
  </si>
  <si>
    <t>2016-02-02</t>
  </si>
  <si>
    <t>BIL 100%</t>
  </si>
  <si>
    <t>-&gt; a refugio</t>
  </si>
  <si>
    <t>2016-02-25</t>
  </si>
  <si>
    <t>BIL 33% | XLP 33% | XLU 33%</t>
  </si>
  <si>
    <t>entran: XLP, XLU ; BIL 100%-&gt;33%</t>
  </si>
  <si>
    <t>2016-03-01</t>
  </si>
  <si>
    <t>XLP 33% | XLU 33% | XLY 33%</t>
  </si>
  <si>
    <t>entran: XLY ; &lt;- sale de refugio</t>
  </si>
  <si>
    <t>2016-04-20</t>
  </si>
  <si>
    <t>BIL 33% | XLP 33% | XLY 33%</t>
  </si>
  <si>
    <t>salen: XLU ; -&gt; a refugio</t>
  </si>
  <si>
    <t>2016-04-21</t>
  </si>
  <si>
    <t>BIL 67% | XLY 33%</t>
  </si>
  <si>
    <t>salen: XLP ; BIL 33%-&gt;67%</t>
  </si>
  <si>
    <t>2016-05-10</t>
  </si>
  <si>
    <t>entran: XLP ; BIL 67%-&gt;33%</t>
  </si>
  <si>
    <t>2016-05-13</t>
  </si>
  <si>
    <t>BIL 67% | XLP 33%</t>
  </si>
  <si>
    <t>salen: XLY ; BIL 33%-&gt;67%</t>
  </si>
  <si>
    <t>2016-06-03</t>
  </si>
  <si>
    <t>entran: XLU ; BIL 67%-&gt;33%</t>
  </si>
  <si>
    <t>2016-07-11</t>
  </si>
  <si>
    <t>XLK 33% | XLP 33% | XLU 33%</t>
  </si>
  <si>
    <t>entran: XLK ; &lt;- sale de refugio</t>
  </si>
  <si>
    <t>2016-08-05</t>
  </si>
  <si>
    <t>BIL 33% | XLK 33% | XLP 33%</t>
  </si>
  <si>
    <t>2016-08-23</t>
  </si>
  <si>
    <t>XLB 33% | XLK 33% | XLP 33%</t>
  </si>
  <si>
    <t>entran: XLB ; &lt;- sale de refugio</t>
  </si>
  <si>
    <t>2016-09-09</t>
  </si>
  <si>
    <t>salen: XLB, XLK, XLP ; -&gt; a refugio</t>
  </si>
  <si>
    <t>2016-09-21</t>
  </si>
  <si>
    <t>BIL 67% | XLU 33%</t>
  </si>
  <si>
    <t>entran: XLU ; BIL 100%-&gt;67%</t>
  </si>
  <si>
    <t>2016-09-22</t>
  </si>
  <si>
    <t>BIL 33% | XLK 33% | XLU 33%</t>
  </si>
  <si>
    <t>entran: XLK ; BIL 67%-&gt;33%</t>
  </si>
  <si>
    <t>2016-10-04</t>
  </si>
  <si>
    <t>BIL 67% | XLK 33%</t>
  </si>
  <si>
    <t>salen: XLU ; BIL 33%-&gt;67%</t>
  </si>
  <si>
    <t>2016-10-31</t>
  </si>
  <si>
    <t>2016-11-03</t>
  </si>
  <si>
    <t>salen: XLK ; BIL 33%-&gt;67%</t>
  </si>
  <si>
    <t>2016-11-09</t>
  </si>
  <si>
    <t>BIL 33% | XLI 33% | XLU 33%</t>
  </si>
  <si>
    <t>entran: XLI ; BIL 67%-&gt;33%</t>
  </si>
  <si>
    <t>2016-11-10</t>
  </si>
  <si>
    <t>BIL 33% | XLB 33% | XLI 33%</t>
  </si>
  <si>
    <t>salen: XLU ; entran: XLB ; BIL 33%-&gt;33%</t>
  </si>
  <si>
    <t>2016-11-14</t>
  </si>
  <si>
    <t>XLB 33% | XLF 33% | XLI 33%</t>
  </si>
  <si>
    <t>entran: XLF ; &lt;- sale de refugio</t>
  </si>
  <si>
    <t>2016-11-18</t>
  </si>
  <si>
    <t>BIL 33% | XLF 33% | XLI 33%</t>
  </si>
  <si>
    <t>salen: XLB ; -&gt; a refugio</t>
  </si>
  <si>
    <t>2016-11-21</t>
  </si>
  <si>
    <t>XLE 33% | XLF 33% | XLI 33%</t>
  </si>
  <si>
    <t>entran: XLE ; &lt;- sale de refugio</t>
  </si>
  <si>
    <t>2016-11-23</t>
  </si>
  <si>
    <t>salen: XLE ; -&gt; a refugio</t>
  </si>
  <si>
    <t>2016-12-08</t>
  </si>
  <si>
    <t>2017-01-09</t>
  </si>
  <si>
    <t>2017-01-17</t>
  </si>
  <si>
    <t>BIL 67% | XLI 33%</t>
  </si>
  <si>
    <t>salen: XLF ; BIL 33%-&gt;67%</t>
  </si>
  <si>
    <t>2017-01-24</t>
  </si>
  <si>
    <t>entran: XLB ; BIL 67%-&gt;33%</t>
  </si>
  <si>
    <t>2017-02-13</t>
  </si>
  <si>
    <t>2017-03-21</t>
  </si>
  <si>
    <t>BIL 67% | XLB 33%</t>
  </si>
  <si>
    <t>salen: XLF, XLI ; -&gt; a refugio</t>
  </si>
  <si>
    <t>2017-04-24</t>
  </si>
  <si>
    <t>2017-04-25</t>
  </si>
  <si>
    <t>XLB 33% | XLI 33% | XLK 33%</t>
  </si>
  <si>
    <t>2017-05-25</t>
  </si>
  <si>
    <t>BIL 33% | XLI 33% | XLK 33%</t>
  </si>
  <si>
    <t>2017-06-09</t>
  </si>
  <si>
    <t>XLF 33% | XLI 33% | XLK 33%</t>
  </si>
  <si>
    <t>2017-08-10</t>
  </si>
  <si>
    <t>BIL 33% | XLF 33% | XLK 33%</t>
  </si>
  <si>
    <t>salen: XLI ; -&gt; a refugio</t>
  </si>
  <si>
    <t>2017-08-17</t>
  </si>
  <si>
    <t>2017-09-12</t>
  </si>
  <si>
    <t>2017-09-18</t>
  </si>
  <si>
    <t>2017-11-01</t>
  </si>
  <si>
    <t>2017-11-13</t>
  </si>
  <si>
    <t>XLF 33% | XLK 33% | XLU 33%</t>
  </si>
  <si>
    <t>entran: XLU ; &lt;- sale de refugio</t>
  </si>
  <si>
    <t>2017-12-04</t>
  </si>
  <si>
    <t>BIL 33% | XLF 33% | XLU 33%</t>
  </si>
  <si>
    <t>salen: XLK ; -&gt; a refugio</t>
  </si>
  <si>
    <t>2017-12-12</t>
  </si>
  <si>
    <t>BIL 67% | XLF 33%</t>
  </si>
  <si>
    <t>2017-12-18</t>
  </si>
  <si>
    <t>2017-12-22</t>
  </si>
  <si>
    <t>2018-01-02</t>
  </si>
  <si>
    <t>BIL 33% | XLB 33% | XLK 33%</t>
  </si>
  <si>
    <t>2018-01-03</t>
  </si>
  <si>
    <t>entran: XLI ; &lt;- sale de refugio</t>
  </si>
  <si>
    <t>2018-01-18</t>
  </si>
  <si>
    <t>2018-01-22</t>
  </si>
  <si>
    <t>2018-02-05</t>
  </si>
  <si>
    <t>salen: XLF, XLI, XLK ; -&gt; a refugio</t>
  </si>
  <si>
    <t>2018-03-09</t>
  </si>
  <si>
    <t>entran: XLK ; BIL 100%-&gt;67%</t>
  </si>
  <si>
    <t>2018-03-23</t>
  </si>
  <si>
    <t>salen: XLK ; BIL 67%-&gt;100%</t>
  </si>
  <si>
    <t>2018-05-09</t>
  </si>
  <si>
    <t>BIL 33% | XLE 33% | XLK 33%</t>
  </si>
  <si>
    <t>entran: XLE, XLK ; BIL 100%-&gt;33%</t>
  </si>
  <si>
    <t>2018-06-05</t>
  </si>
  <si>
    <t>XLE 33% | XLK 33% | XLY 33%</t>
  </si>
  <si>
    <t>2018-06-27</t>
  </si>
  <si>
    <t>BIL 33% | XLE 33% | XLY 33%</t>
  </si>
  <si>
    <t>2018-07-12</t>
  </si>
  <si>
    <t>2018-08-15</t>
  </si>
  <si>
    <t>BIL 33% | XLK 33% | XLY 33%</t>
  </si>
  <si>
    <t>2018-09-18</t>
  </si>
  <si>
    <t>XLI 33% | XLK 33% | XLY 33%</t>
  </si>
  <si>
    <t>2018-09-24</t>
  </si>
  <si>
    <t>2018-10-01</t>
  </si>
  <si>
    <t>XLK 33% | XLV 33% | XLY 33%</t>
  </si>
  <si>
    <t>entran: XLV ; &lt;- sale de refugio</t>
  </si>
  <si>
    <t>2018-10-04</t>
  </si>
  <si>
    <t>BIL 33% | XLK 33% | XLV 33%</t>
  </si>
  <si>
    <t>salen: XLY ; -&gt; a refugio</t>
  </si>
  <si>
    <t>2018-10-08</t>
  </si>
  <si>
    <t>BIL 67% | XLV 33%</t>
  </si>
  <si>
    <t>2018-10-11</t>
  </si>
  <si>
    <t>salen: XLV ; BIL 67%-&gt;100%</t>
  </si>
  <si>
    <t>2018-11-30</t>
  </si>
  <si>
    <t>entran: XLV ; BIL 100%-&gt;67%</t>
  </si>
  <si>
    <t>2018-12-17</t>
  </si>
  <si>
    <t>2019-01-18</t>
  </si>
  <si>
    <t>2019-01-25</t>
  </si>
  <si>
    <t>BIL 33% | XLRE 33% | XLV 33%</t>
  </si>
  <si>
    <t>entran: XLRE ; BIL 67%-&gt;33%</t>
  </si>
  <si>
    <t>2019-01-30</t>
  </si>
  <si>
    <t>XLRE 33% | XLV 33% | XLY 33%</t>
  </si>
  <si>
    <t>2019-03-22</t>
  </si>
  <si>
    <t>2019-04-03</t>
  </si>
  <si>
    <t>XLK 33% | XLRE 33% | XLV 33%</t>
  </si>
  <si>
    <t>2019-04-16</t>
  </si>
  <si>
    <t>XLK 33% | XLRE 33% | XLY 33%</t>
  </si>
  <si>
    <t>salen: XLV ; entran: XLY</t>
  </si>
  <si>
    <t>2019-05-10</t>
  </si>
  <si>
    <t>BIL 33% | XLRE 33% | XLY 33%</t>
  </si>
  <si>
    <t>2019-05-13</t>
  </si>
  <si>
    <t>BIL 67% | XLRE 33%</t>
  </si>
  <si>
    <t>2019-05-23</t>
  </si>
  <si>
    <t>BIL 33% | XLRE 33% | XLU 33%</t>
  </si>
  <si>
    <t>2019-06-07</t>
  </si>
  <si>
    <t>XLP 33% | XLRE 33% | XLU 33%</t>
  </si>
  <si>
    <t>entran: XLP ; &lt;- sale de refugio</t>
  </si>
  <si>
    <t>2019-08-05</t>
  </si>
  <si>
    <t>salen: XLP ; -&gt; a refugio</t>
  </si>
  <si>
    <t>2019-09-04</t>
  </si>
  <si>
    <t>2019-10-25</t>
  </si>
  <si>
    <t>XLK 33% | XLRE 33% | XLU 33%</t>
  </si>
  <si>
    <t>salen: XLP ; entran: XLK</t>
  </si>
  <si>
    <t>2019-11-04</t>
  </si>
  <si>
    <t>salen: XLRE ; -&gt; a refugio</t>
  </si>
  <si>
    <t>2019-11-05</t>
  </si>
  <si>
    <t>2019-11-27</t>
  </si>
  <si>
    <t>BIL 33% | XLC 33% | XLK 33%</t>
  </si>
  <si>
    <t>entran: XLC ; BIL 67%-&gt;33%</t>
  </si>
  <si>
    <t>2019-12-06</t>
  </si>
  <si>
    <t>XLC 33% | XLF 33% | XLK 33%</t>
  </si>
  <si>
    <t>2020-01-15</t>
  </si>
  <si>
    <t>XLC 33% | XLK 33% | XLU 33%</t>
  </si>
  <si>
    <t>salen: XLF ; entran: XLU</t>
  </si>
  <si>
    <t>2020-02-05</t>
  </si>
  <si>
    <t>salen: XLC ; -&gt; a refugio</t>
  </si>
  <si>
    <t>2020-02-18</t>
  </si>
  <si>
    <t>entran: XLC ; &lt;- sale de refugio</t>
  </si>
  <si>
    <t>2020-02-25</t>
  </si>
  <si>
    <t>salen: XLC, XLK ; -&gt; a refugio</t>
  </si>
  <si>
    <t>2020-02-26</t>
  </si>
  <si>
    <t>salen: XLU ; BIL 67%-&gt;100%</t>
  </si>
  <si>
    <t>2020-04-08</t>
  </si>
  <si>
    <t>2020-04-09</t>
  </si>
  <si>
    <t>BIL 33% | XLU 33% | XLV 33%</t>
  </si>
  <si>
    <t>2020-04-14</t>
  </si>
  <si>
    <t>XLK 33% | XLU 33% | XLV 33%</t>
  </si>
  <si>
    <t>2020-05-06</t>
  </si>
  <si>
    <t>2020-05-08</t>
  </si>
  <si>
    <t>XLC 33% | XLK 33% | XLV 33%</t>
  </si>
  <si>
    <t>2020-06-11</t>
  </si>
  <si>
    <t>salen: XLV ; -&gt; a refugio</t>
  </si>
  <si>
    <t>2020-06-26</t>
  </si>
  <si>
    <t>salen: XLC ; BIL 33%-&gt;67%</t>
  </si>
  <si>
    <t>2020-07-10</t>
  </si>
  <si>
    <t>2020-07-15</t>
  </si>
  <si>
    <t>2020-09-08</t>
  </si>
  <si>
    <t>2020-10-08</t>
  </si>
  <si>
    <t>XLC 33% | XLK 33% | XLY 33%</t>
  </si>
  <si>
    <t>2020-10-28</t>
  </si>
  <si>
    <t>BIL 67% | XLC 33%</t>
  </si>
  <si>
    <t>salen: XLK, XLY ; -&gt; a refugio</t>
  </si>
  <si>
    <t>2020-12-16</t>
  </si>
  <si>
    <t>entran: XLK, XLY ; &lt;- sale de refugio</t>
  </si>
  <si>
    <t>2021-01-12</t>
  </si>
  <si>
    <t>2021-01-26</t>
  </si>
  <si>
    <t>2021-03-04</t>
  </si>
  <si>
    <t>2021-03-10</t>
  </si>
  <si>
    <t>BIL 33% | XLB 33% | XLC 33%</t>
  </si>
  <si>
    <t>2021-03-18</t>
  </si>
  <si>
    <t>2021-04-05</t>
  </si>
  <si>
    <t>BIL 33% | XLB 33% | XLY 33%</t>
  </si>
  <si>
    <t>entran: XLY ; BIL 67%-&gt;33%</t>
  </si>
  <si>
    <t>2021-04-07</t>
  </si>
  <si>
    <t>XLB 33% | XLC 33% | XLY 33%</t>
  </si>
  <si>
    <t>2021-04-15</t>
  </si>
  <si>
    <t>XLB 33% | XLK 33% | XLY 33%</t>
  </si>
  <si>
    <t>salen: XLC ; entran: XLK</t>
  </si>
  <si>
    <t>2021-04-16</t>
  </si>
  <si>
    <t>2021-04-19</t>
  </si>
  <si>
    <t>2021-04-29</t>
  </si>
  <si>
    <t>BIL 33% | XLB 33% | XLF 33%</t>
  </si>
  <si>
    <t>entran: XLF ; BIL 67%-&gt;33%</t>
  </si>
  <si>
    <t>2021-05-07</t>
  </si>
  <si>
    <t>2021-06-14</t>
  </si>
  <si>
    <t>2021-06-17</t>
  </si>
  <si>
    <t>2021-06-18</t>
  </si>
  <si>
    <t>salen: XLI ; BIL 67%-&gt;100%</t>
  </si>
  <si>
    <t>2021-06-28</t>
  </si>
  <si>
    <t>entran: XLC ; BIL 100%-&gt;67%</t>
  </si>
  <si>
    <t>2021-07-23</t>
  </si>
  <si>
    <t>2021-08-02</t>
  </si>
  <si>
    <t>2021-08-06</t>
  </si>
  <si>
    <t>BIL 33% | XLC 33% | XLF 33%</t>
  </si>
  <si>
    <t>2021-08-10</t>
  </si>
  <si>
    <t>XLB 33% | XLC 33% | XLF 33%</t>
  </si>
  <si>
    <t>2021-08-26</t>
  </si>
  <si>
    <t>2021-09-01</t>
  </si>
  <si>
    <t>BIL 33% | XLF 33% | XLRE 33%</t>
  </si>
  <si>
    <t>salen: XLB ; entran: XLRE ; BIL 33%-&gt;33%</t>
  </si>
  <si>
    <t>2021-09-15</t>
  </si>
  <si>
    <t>XLE 33% | XLF 33% | XLRE 33%</t>
  </si>
  <si>
    <t>2021-09-20</t>
  </si>
  <si>
    <t>BIL 33% | XLE 33% | XLRE 33%</t>
  </si>
  <si>
    <t>salen: XLF ; -&gt; a refugio</t>
  </si>
  <si>
    <t>2021-09-27</t>
  </si>
  <si>
    <t>BIL 67% | XLE 33%</t>
  </si>
  <si>
    <t>salen: XLRE ; BIL 33%-&gt;67%</t>
  </si>
  <si>
    <t>2021-10-19</t>
  </si>
  <si>
    <t>BIL 33% | XLE 33% | XLF 33%</t>
  </si>
  <si>
    <t>2021-10-22</t>
  </si>
  <si>
    <t>entran: XLRE ; &lt;- sale de refugio</t>
  </si>
  <si>
    <t>2021-11-17</t>
  </si>
  <si>
    <t>2021-11-18</t>
  </si>
  <si>
    <t>BIL 33% | XLK 33% | XLRE 33%</t>
  </si>
  <si>
    <t>salen: XLE ; entran: XLK ; BIL 33%-&gt;33%</t>
  </si>
  <si>
    <t>2021-12-01</t>
  </si>
  <si>
    <t>2021-12-07</t>
  </si>
  <si>
    <t>2022-01-04</t>
  </si>
  <si>
    <t>XLE 33% | XLK 33% | XLRE 33%</t>
  </si>
  <si>
    <t>2022-01-19</t>
  </si>
  <si>
    <t>salen: XLK, XLRE ; -&gt; a refugio</t>
  </si>
  <si>
    <t>2022-03-04</t>
  </si>
  <si>
    <t>BIL 33% | XLE 33% | XLU 33%</t>
  </si>
  <si>
    <t>2022-03-16</t>
  </si>
  <si>
    <t>XLE 33% | XLU 33% | XLV 33%</t>
  </si>
  <si>
    <t>2022-03-22</t>
  </si>
  <si>
    <t>XLE 33% | XLF 33% | XLV 33%</t>
  </si>
  <si>
    <t>salen: XLU ; entran: XLF</t>
  </si>
  <si>
    <t>2022-03-25</t>
  </si>
  <si>
    <t>BIL 33% | XLE 33% | XLV 33%</t>
  </si>
  <si>
    <t>2022-03-28</t>
  </si>
  <si>
    <t>XLE 33% | XLRE 33% | XLV 33%</t>
  </si>
  <si>
    <t>2022-04-22</t>
  </si>
  <si>
    <t>2022-04-25</t>
  </si>
  <si>
    <t>salen: XLE ; BIL 33%-&gt;67%</t>
  </si>
  <si>
    <t>2022-04-27</t>
  </si>
  <si>
    <t>salen: XLRE ; BIL 67%-&gt;100%</t>
  </si>
  <si>
    <t>2022-05-06</t>
  </si>
  <si>
    <t>entran: XLE ; BIL 100%-&gt;67%</t>
  </si>
  <si>
    <t>2022-05-27</t>
  </si>
  <si>
    <t>entran: XLU, XLV ; &lt;- sale de refugio</t>
  </si>
  <si>
    <t>2022-06-13</t>
  </si>
  <si>
    <t>salen: XLU, XLV ; -&gt; a refugio</t>
  </si>
  <si>
    <t>2022-06-16</t>
  </si>
  <si>
    <t>salen: XLE ; BIL 67%-&gt;100%</t>
  </si>
  <si>
    <t>2022-07-28</t>
  </si>
  <si>
    <t>2022-07-29</t>
  </si>
  <si>
    <t>XLE 33% | XLP 33% | XLU 33%</t>
  </si>
  <si>
    <t>2022-08-30</t>
  </si>
  <si>
    <t>2022-09-21</t>
  </si>
  <si>
    <t>2022-09-23</t>
  </si>
  <si>
    <t>2022-10-06</t>
  </si>
  <si>
    <t>2022-10-24</t>
  </si>
  <si>
    <t>entran: XLV ; BIL 67%-&gt;33%</t>
  </si>
  <si>
    <t>2022-10-25</t>
  </si>
  <si>
    <t>XLE 33% | XLP 33% | XLV 33%</t>
  </si>
  <si>
    <t>2022-12-06</t>
  </si>
  <si>
    <t>BIL 33% | XLP 33% | XLV 33%</t>
  </si>
  <si>
    <t>2023-01-09</t>
  </si>
  <si>
    <t>salen: XLV ; BIL 33%-&gt;67%</t>
  </si>
  <si>
    <t>2023-01-12</t>
  </si>
  <si>
    <t>BIL 33% | XLE 33% | XLP 33%</t>
  </si>
  <si>
    <t>entran: XLE ; BIL 67%-&gt;33%</t>
  </si>
  <si>
    <t>2023-01-18</t>
  </si>
  <si>
    <t>2023-01-31</t>
  </si>
  <si>
    <t>BIL 33% | XLB 33% | XLE 33%</t>
  </si>
  <si>
    <t>2023-02-10</t>
  </si>
  <si>
    <t>salen: XLB ; BIL 33%-&gt;67%</t>
  </si>
  <si>
    <t>2023-02-17</t>
  </si>
  <si>
    <t>2023-03-27</t>
  </si>
  <si>
    <t>entran: XLP ; BIL 100%-&gt;67%</t>
  </si>
  <si>
    <t>2023-04-05</t>
  </si>
  <si>
    <t>2023-04-28</t>
  </si>
  <si>
    <t>2023-05-17</t>
  </si>
  <si>
    <t>entran: XLC, XLK ; &lt;- sale de refugio</t>
  </si>
  <si>
    <t>2023-05-19</t>
  </si>
  <si>
    <t>2023-06-07</t>
  </si>
  <si>
    <t>XLC 33% | XLI 33% | XLK 33%</t>
  </si>
  <si>
    <t>2023-08-08</t>
  </si>
  <si>
    <t>BIL 33% | XLC 33% | XLI 33%</t>
  </si>
  <si>
    <t>2023-08-09</t>
  </si>
  <si>
    <t>XLC 33% | XLE 33% | XLI 33%</t>
  </si>
  <si>
    <t>2023-08-15</t>
  </si>
  <si>
    <t>BIL 33% | XLC 33% | XLE 33%</t>
  </si>
  <si>
    <t>2023-08-18</t>
  </si>
  <si>
    <t>2023-08-31</t>
  </si>
  <si>
    <t>2023-09-21</t>
  </si>
  <si>
    <t>2023-10-02</t>
  </si>
  <si>
    <t>2023-10-11</t>
  </si>
  <si>
    <t>2023-10-26</t>
  </si>
  <si>
    <t>salen: XLC ; BIL 67%-&gt;100%</t>
  </si>
  <si>
    <t>2023-11-07</t>
  </si>
  <si>
    <t>2023-11-14</t>
  </si>
  <si>
    <t>entran: XLC, XLY ; &lt;- sale de refugio</t>
  </si>
  <si>
    <t>2024-01-25</t>
  </si>
  <si>
    <t>2024-02-02</t>
  </si>
  <si>
    <t>2024-04-04</t>
  </si>
  <si>
    <t>BIL 33% | XLC 33% | XLY 33%</t>
  </si>
  <si>
    <t>2024-04-12</t>
  </si>
  <si>
    <t>2024-04-19</t>
  </si>
  <si>
    <t>2024-05-09</t>
  </si>
  <si>
    <t>entran: XLF ; BIL 100%-&gt;67%</t>
  </si>
  <si>
    <t>2024-05-14</t>
  </si>
  <si>
    <t>2024-05-15</t>
  </si>
  <si>
    <t>2024-07-19</t>
  </si>
  <si>
    <t>2024-07-24</t>
  </si>
  <si>
    <t>2024-08-05</t>
  </si>
  <si>
    <t>salen: XLF ; BIL 67%-&gt;100%</t>
  </si>
  <si>
    <t>2024-08-23</t>
  </si>
  <si>
    <t>2024-09-10</t>
  </si>
  <si>
    <t>2024-09-19</t>
  </si>
  <si>
    <t>XLC 33% | XLF 33% | XLRE 33%</t>
  </si>
  <si>
    <t>2024-09-20</t>
  </si>
  <si>
    <t>2024-09-26</t>
  </si>
  <si>
    <t>2024-10-02</t>
  </si>
  <si>
    <t>2024-10-09</t>
  </si>
  <si>
    <t>2024-10-21</t>
  </si>
  <si>
    <t>2024-10-29</t>
  </si>
  <si>
    <t>2024-11-11</t>
  </si>
  <si>
    <t>XLC 33% | XLF 33% | XLI 33%</t>
  </si>
  <si>
    <t>salen: XLK ; entran: XLI</t>
  </si>
  <si>
    <t>2024-12-12</t>
  </si>
  <si>
    <t>2024-12-16</t>
  </si>
  <si>
    <t>XLC 33% | XLF 33% | XLY 33%</t>
  </si>
  <si>
    <t>2024-12-17</t>
  </si>
  <si>
    <t>2025-01-02</t>
  </si>
  <si>
    <t>2025-01-10</t>
  </si>
  <si>
    <t>2025-01-16</t>
  </si>
  <si>
    <t>2025-01-21</t>
  </si>
  <si>
    <t>2025-01-24</t>
  </si>
  <si>
    <t>XLC 33% | XLF 33% | XLU 33%</t>
  </si>
  <si>
    <t>2025-02-27</t>
  </si>
  <si>
    <t>2025-03-04</t>
  </si>
  <si>
    <t>2025-03-06</t>
  </si>
  <si>
    <t>2025-05-02</t>
  </si>
  <si>
    <t>entran: XLC, XLF ; BIL 100%-&gt;33%</t>
  </si>
  <si>
    <t>2025-05-06</t>
  </si>
  <si>
    <t>2025-07-28</t>
  </si>
  <si>
    <t>2025-08-04</t>
  </si>
  <si>
    <t>2025-08-05</t>
  </si>
  <si>
    <t>2025-08-13</t>
  </si>
  <si>
    <t>2025-10-10</t>
  </si>
  <si>
    <t>salen: XLC, XLF, XLY ; -&gt; a refugio</t>
  </si>
  <si>
    <t>2025-10-14</t>
  </si>
  <si>
    <t>2025-10-24</t>
  </si>
  <si>
    <t>2025-10-28</t>
  </si>
  <si>
    <t>2025-11-18</t>
  </si>
  <si>
    <t>2025-11-25</t>
  </si>
  <si>
    <t>2025-12-02</t>
  </si>
  <si>
    <t>2025-12-05</t>
  </si>
  <si>
    <t>2025-12-10</t>
  </si>
  <si>
    <t>2026-01-16</t>
  </si>
  <si>
    <t>2026-01-27</t>
  </si>
  <si>
    <t>2026-01-29</t>
  </si>
  <si>
    <t>2026-02-04</t>
  </si>
  <si>
    <t>salen: XLK ; entran: XLE</t>
  </si>
  <si>
    <t>2026-02-05</t>
  </si>
  <si>
    <t>BIL 33% | XLE 33% | XLI 33%</t>
  </si>
  <si>
    <t>2026-02-11</t>
  </si>
  <si>
    <t>XLB 33% | XLE 33% | XLI 33%</t>
  </si>
  <si>
    <t>2026-03-06</t>
  </si>
  <si>
    <t>2026-03-12</t>
  </si>
  <si>
    <t>salen: XLI ; BIL 33%-&gt;67%</t>
  </si>
  <si>
    <t>2026-04-09</t>
  </si>
  <si>
    <t>2026-04-13</t>
  </si>
  <si>
    <t>XLE 33% | XLI 33% | XLK 33%</t>
  </si>
  <si>
    <t>2026-04-14</t>
  </si>
  <si>
    <t>2026-05-18</t>
  </si>
  <si>
    <t>2026-05-19</t>
  </si>
  <si>
    <t>2026-06-15</t>
  </si>
  <si>
    <t>salen: XLE ; entran: XLI ; BIL 33%-&gt;33%</t>
  </si>
  <si>
    <t>2026-07-17</t>
  </si>
  <si>
    <t>salen: XLK ; entran: XLE ; BIL 33%-&gt;33%</t>
  </si>
  <si>
    <t>2026-07-28</t>
  </si>
  <si>
    <t>XLE 33% | XLI 33% | XLV 33%</t>
  </si>
  <si>
    <t>2026-07-29</t>
  </si>
  <si>
    <t>2026-08-04</t>
  </si>
  <si>
    <t>2026-08-28</t>
  </si>
  <si>
    <t>2026-09-10</t>
  </si>
  <si>
    <t>ANALISIS DE ROTACION - Duracion de las composiciones de cartera</t>
  </si>
  <si>
    <t>Estrategia Momentum Dual (base) - periodo 2016-2026</t>
  </si>
  <si>
    <t>Resumen</t>
  </si>
  <si>
    <t>Total de cambios de cartera</t>
  </si>
  <si>
    <t>Duracion promedio (dias habiles)</t>
  </si>
  <si>
    <t>Duracion mediana (dias habiles)</t>
  </si>
  <si>
    <t>Duracion minima</t>
  </si>
  <si>
    <t>Duracion maxima</t>
  </si>
  <si>
    <t>Composiciones que duran menos de 5 dias</t>
  </si>
  <si>
    <t>Distribucion por tramos de duracion</t>
  </si>
  <si>
    <t>Tramo</t>
  </si>
  <si>
    <t>Cantidad</t>
  </si>
  <si>
    <t>% del total</t>
  </si>
  <si>
    <t>1 dia</t>
  </si>
  <si>
    <t>2-4 dias</t>
  </si>
  <si>
    <t>5-9 dias</t>
  </si>
  <si>
    <t>10-19 dias</t>
  </si>
  <si>
    <t>20+ dias</t>
  </si>
  <si>
    <t>Total</t>
  </si>
  <si>
    <t>Tipo de cambio (derivado de la columna 'Cambio')</t>
  </si>
  <si>
    <t>Tipo de cambio</t>
  </si>
  <si>
    <t>Involucra el refugio (entra/sale de BIL)</t>
  </si>
  <si>
    <t>Sector -&gt; a refugio (salida a BIL)</t>
  </si>
  <si>
    <t>Refugio -&gt; sector (entra desde BIL)</t>
  </si>
  <si>
    <t>Rotacion sector por sector</t>
  </si>
  <si>
    <t>Nota: valores contados sobre el texto de la columna 'Cambio' de la bitacora.</t>
  </si>
  <si>
    <t>BIL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</si>
  <si>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</si>
  <si>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</si>
  <si>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</si>
  <si>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</si>
  <si>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</si>
  <si>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</si>
  <si>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</si>
  <si>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</si>
  <si>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</si>
  <si>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</si>
  <si>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</si>
  <si>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Rotacion (% cartera operada)</t>
  </si>
  <si>
    <t>Rotacion sin BIL (% cartera)</t>
  </si>
  <si>
    <t>Costo de comisiones</t>
  </si>
  <si>
    <t>Comision por operacion (compra o venta)</t>
  </si>
  <si>
    <t>Fecha fin (ultimo cambio + su duracion)</t>
  </si>
  <si>
    <t>Anios del periodo</t>
  </si>
  <si>
    <t>Concepto</t>
  </si>
  <si>
    <t>Incluye BIL</t>
  </si>
  <si>
    <t>Sin BIL</t>
  </si>
  <si>
    <t>Rotacion acumulada (veces la cartera)</t>
  </si>
  <si>
    <t>Rotacion anual (veces/anio)</t>
  </si>
  <si>
    <t>Costo acumulado simple</t>
  </si>
  <si>
    <t>Capital perdido en comisiones (compuesto)</t>
  </si>
  <si>
    <t>Rentabilidad anual que se comen las comisiones</t>
  </si>
  <si>
    <t>Nota: la rotacion suma compras + ventas de cada cambio (|peso nuevo - peso anterior|), incluida la compra inicial. Pesos al tercio (33% = 1/3). 'Sin BIL' supone que mover a/desde el refugio no paga comision.</t>
  </si>
  <si>
    <t>Fecha inicio (primer cambio)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</si>
</sst>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%;\-0%;&quot;-&quot;"/>
    <numFmt numFmtId="167" formatCode="0.0%;\-0.0%;&quot;-&quot;"/>
    <numFmt numFmtId="168" formatCode="dd/mm/yyyy"/>
    <numFmt numFmtId="169" formatCode="0.0\x"/>
  </numFmts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i/>
      <sz val="10"/>
      <name val="Arial"/>
      <charset val="1"/>
    </font>
    <font>
      <b/>
      <sz val="12"/>
      <color rgb="FF1F4E79"/>
      <name val="Arial"/>
      <charset val="1"/>
    </font>
    <font>
      <b/>
      <sz val="10"/>
      <name val="Arial"/>
      <charset val="1"/>
    </font>
    <font>
      <i/>
      <sz val="8"/>
      <color rgb="FF808080"/>
      <name val="Arial"/>
      <charset val="1"/>
    </font>
    <font>
      <b/>
      <sz val="11"/>
      <color rgb="FFFFFFFF"/>
      <name val="Arial"/>
    </font>
    <font>
      <sz val="10"/>
      <color theme="1"/>
      <name val="Arial"/>
    </font>
    <font>
      <b/>
      <sz val="12"/>
      <color rgb="FF1F4E79"/>
      <name val="Arial"/>
    </font>
    <font>
      <b/>
      <sz val="10"/>
      <color theme="1"/>
      <name val="Arial"/>
    </font>
    <font>
      <b/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  <font>
      <i/>
      <sz val="8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horizontal="center" wrapText="1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10" fillId="0" borderId="0" xfId="0" applyFont="1"/>
    <xf numFmtId="10" fontId="12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1" xfId="0" applyFont="1" applyBorder="1"/>
    <xf numFmtId="169" fontId="9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1" fillId="0" borderId="1" xfId="0" applyFont="1" applyBorder="1"/>
    <xf numFmtId="165" fontId="11" fillId="0" borderId="1" xfId="0" applyNumberFormat="1" applyFont="1" applyBorder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Cantidad de composiciones por duracion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Analisis!$B$13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Analisis!$A$14:$A$18</c:f>
              <c:strCache>
                <c:ptCount val="5"/>
                <c:pt idx="0">
                  <c:v>1 dia</c:v>
                </c:pt>
                <c:pt idx="1">
                  <c:v>2-4 dias</c:v>
                </c:pt>
                <c:pt idx="2">
                  <c:v>5-9 dias</c:v>
                </c:pt>
                <c:pt idx="3">
                  <c:v>10-19 dias</c:v>
                </c:pt>
                <c:pt idx="4">
                  <c:v>20+ dias</c:v>
                </c:pt>
              </c:strCache>
            </c:strRef>
          </c:cat>
          <c:val>
            <c:numRef>
              <c:f>Analisis!$B$14:$B$18</c:f>
              <c:numCache>
                <c:formatCode>General</c:formatCode>
                <c:ptCount val="5"/>
                <c:pt idx="0">
                  <c:v>27</c:v>
                </c:pt>
                <c:pt idx="1">
                  <c:v>61</c:v>
                </c:pt>
                <c:pt idx="2">
                  <c:v>57</c:v>
                </c:pt>
                <c:pt idx="3">
                  <c:v>53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0-4933-A270-1A74ECC82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44011"/>
        <c:axId val="5434081"/>
      </c:barChart>
      <c:catAx>
        <c:axId val="36744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Duracion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5434081"/>
        <c:crosses val="autoZero"/>
        <c:auto val="1"/>
        <c:lblAlgn val="ctr"/>
        <c:lblOffset val="100"/>
        <c:noMultiLvlLbl val="0"/>
      </c:catAx>
      <c:valAx>
        <c:axId val="5434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36744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Duracion de cada composicion a lo largo del tiempo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Bitacora!$B$1</c:f>
              <c:strCache>
                <c:ptCount val="1"/>
                <c:pt idx="0">
                  <c:v>Dias que dura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Bitacora!$A$2:$A$243</c:f>
              <c:strCache>
                <c:ptCount val="242"/>
                <c:pt idx="0">
                  <c:v>2016-02-02</c:v>
                </c:pt>
                <c:pt idx="1">
                  <c:v>2016-02-25</c:v>
                </c:pt>
                <c:pt idx="2">
                  <c:v>2016-03-01</c:v>
                </c:pt>
                <c:pt idx="3">
                  <c:v>2016-04-20</c:v>
                </c:pt>
                <c:pt idx="4">
                  <c:v>2016-04-21</c:v>
                </c:pt>
                <c:pt idx="5">
                  <c:v>2016-05-10</c:v>
                </c:pt>
                <c:pt idx="6">
                  <c:v>2016-05-13</c:v>
                </c:pt>
                <c:pt idx="7">
                  <c:v>2016-06-03</c:v>
                </c:pt>
                <c:pt idx="8">
                  <c:v>2016-07-11</c:v>
                </c:pt>
                <c:pt idx="9">
                  <c:v>2016-08-05</c:v>
                </c:pt>
                <c:pt idx="10">
                  <c:v>2016-08-23</c:v>
                </c:pt>
                <c:pt idx="11">
                  <c:v>2016-09-09</c:v>
                </c:pt>
                <c:pt idx="12">
                  <c:v>2016-09-21</c:v>
                </c:pt>
                <c:pt idx="13">
                  <c:v>2016-09-22</c:v>
                </c:pt>
                <c:pt idx="14">
                  <c:v>2016-10-04</c:v>
                </c:pt>
                <c:pt idx="15">
                  <c:v>2016-10-31</c:v>
                </c:pt>
                <c:pt idx="16">
                  <c:v>2016-11-03</c:v>
                </c:pt>
                <c:pt idx="17">
                  <c:v>2016-11-09</c:v>
                </c:pt>
                <c:pt idx="18">
                  <c:v>2016-11-10</c:v>
                </c:pt>
                <c:pt idx="19">
                  <c:v>2016-11-14</c:v>
                </c:pt>
                <c:pt idx="20">
                  <c:v>2016-11-18</c:v>
                </c:pt>
                <c:pt idx="21">
                  <c:v>2016-11-21</c:v>
                </c:pt>
                <c:pt idx="22">
                  <c:v>2016-11-23</c:v>
                </c:pt>
                <c:pt idx="23">
                  <c:v>2016-12-08</c:v>
                </c:pt>
                <c:pt idx="24">
                  <c:v>2017-01-09</c:v>
                </c:pt>
                <c:pt idx="25">
                  <c:v>2017-01-17</c:v>
                </c:pt>
                <c:pt idx="26">
                  <c:v>2017-01-24</c:v>
                </c:pt>
                <c:pt idx="27">
                  <c:v>2017-02-13</c:v>
                </c:pt>
                <c:pt idx="28">
                  <c:v>2017-03-21</c:v>
                </c:pt>
                <c:pt idx="29">
                  <c:v>2017-04-24</c:v>
                </c:pt>
                <c:pt idx="30">
                  <c:v>2017-04-25</c:v>
                </c:pt>
                <c:pt idx="31">
                  <c:v>2017-05-25</c:v>
                </c:pt>
                <c:pt idx="32">
                  <c:v>2017-06-09</c:v>
                </c:pt>
                <c:pt idx="33">
                  <c:v>2017-08-10</c:v>
                </c:pt>
                <c:pt idx="34">
                  <c:v>2017-08-17</c:v>
                </c:pt>
                <c:pt idx="35">
                  <c:v>2017-09-12</c:v>
                </c:pt>
                <c:pt idx="36">
                  <c:v>2017-09-18</c:v>
                </c:pt>
                <c:pt idx="37">
                  <c:v>2017-11-01</c:v>
                </c:pt>
                <c:pt idx="38">
                  <c:v>2017-11-13</c:v>
                </c:pt>
                <c:pt idx="39">
                  <c:v>2017-12-04</c:v>
                </c:pt>
                <c:pt idx="40">
                  <c:v>2017-12-12</c:v>
                </c:pt>
                <c:pt idx="41">
                  <c:v>2017-12-18</c:v>
                </c:pt>
                <c:pt idx="42">
                  <c:v>2017-12-22</c:v>
                </c:pt>
                <c:pt idx="43">
                  <c:v>2018-01-02</c:v>
                </c:pt>
                <c:pt idx="44">
                  <c:v>2018-01-03</c:v>
                </c:pt>
                <c:pt idx="45">
                  <c:v>2018-01-18</c:v>
                </c:pt>
                <c:pt idx="46">
                  <c:v>2018-01-22</c:v>
                </c:pt>
                <c:pt idx="47">
                  <c:v>2018-02-05</c:v>
                </c:pt>
                <c:pt idx="48">
                  <c:v>2018-03-09</c:v>
                </c:pt>
                <c:pt idx="49">
                  <c:v>2018-03-23</c:v>
                </c:pt>
                <c:pt idx="50">
                  <c:v>2018-05-09</c:v>
                </c:pt>
                <c:pt idx="51">
                  <c:v>2018-06-05</c:v>
                </c:pt>
                <c:pt idx="52">
                  <c:v>2018-06-27</c:v>
                </c:pt>
                <c:pt idx="53">
                  <c:v>2018-07-12</c:v>
                </c:pt>
                <c:pt idx="54">
                  <c:v>2018-08-15</c:v>
                </c:pt>
                <c:pt idx="55">
                  <c:v>2018-09-18</c:v>
                </c:pt>
                <c:pt idx="56">
                  <c:v>2018-09-24</c:v>
                </c:pt>
                <c:pt idx="57">
                  <c:v>2018-10-01</c:v>
                </c:pt>
                <c:pt idx="58">
                  <c:v>2018-10-04</c:v>
                </c:pt>
                <c:pt idx="59">
                  <c:v>2018-10-08</c:v>
                </c:pt>
                <c:pt idx="60">
                  <c:v>2018-10-11</c:v>
                </c:pt>
                <c:pt idx="61">
                  <c:v>2018-11-30</c:v>
                </c:pt>
                <c:pt idx="62">
                  <c:v>2018-12-17</c:v>
                </c:pt>
                <c:pt idx="63">
                  <c:v>2019-01-18</c:v>
                </c:pt>
                <c:pt idx="64">
                  <c:v>2019-01-25</c:v>
                </c:pt>
                <c:pt idx="65">
                  <c:v>2019-01-30</c:v>
                </c:pt>
                <c:pt idx="66">
                  <c:v>2019-03-22</c:v>
                </c:pt>
                <c:pt idx="67">
                  <c:v>2019-04-03</c:v>
                </c:pt>
                <c:pt idx="68">
                  <c:v>2019-04-16</c:v>
                </c:pt>
                <c:pt idx="69">
                  <c:v>2019-05-10</c:v>
                </c:pt>
                <c:pt idx="70">
                  <c:v>2019-05-13</c:v>
                </c:pt>
                <c:pt idx="71">
                  <c:v>2019-05-23</c:v>
                </c:pt>
                <c:pt idx="72">
                  <c:v>2019-06-07</c:v>
                </c:pt>
                <c:pt idx="73">
                  <c:v>2019-08-05</c:v>
                </c:pt>
                <c:pt idx="74">
                  <c:v>2019-09-04</c:v>
                </c:pt>
                <c:pt idx="75">
                  <c:v>2019-10-25</c:v>
                </c:pt>
                <c:pt idx="76">
                  <c:v>2019-11-04</c:v>
                </c:pt>
                <c:pt idx="77">
                  <c:v>2019-11-05</c:v>
                </c:pt>
                <c:pt idx="78">
                  <c:v>2019-11-27</c:v>
                </c:pt>
                <c:pt idx="79">
                  <c:v>2019-12-06</c:v>
                </c:pt>
                <c:pt idx="80">
                  <c:v>2020-01-15</c:v>
                </c:pt>
                <c:pt idx="81">
                  <c:v>2020-02-05</c:v>
                </c:pt>
                <c:pt idx="82">
                  <c:v>2020-02-18</c:v>
                </c:pt>
                <c:pt idx="83">
                  <c:v>2020-02-25</c:v>
                </c:pt>
                <c:pt idx="84">
                  <c:v>2020-02-26</c:v>
                </c:pt>
                <c:pt idx="85">
                  <c:v>2020-04-08</c:v>
                </c:pt>
                <c:pt idx="86">
                  <c:v>2020-04-09</c:v>
                </c:pt>
                <c:pt idx="87">
                  <c:v>2020-04-14</c:v>
                </c:pt>
                <c:pt idx="88">
                  <c:v>2020-05-06</c:v>
                </c:pt>
                <c:pt idx="89">
                  <c:v>2020-05-08</c:v>
                </c:pt>
                <c:pt idx="90">
                  <c:v>2020-06-11</c:v>
                </c:pt>
                <c:pt idx="91">
                  <c:v>2020-06-26</c:v>
                </c:pt>
                <c:pt idx="92">
                  <c:v>2020-07-10</c:v>
                </c:pt>
                <c:pt idx="93">
                  <c:v>2020-07-15</c:v>
                </c:pt>
                <c:pt idx="94">
                  <c:v>2020-09-08</c:v>
                </c:pt>
                <c:pt idx="95">
                  <c:v>2020-10-08</c:v>
                </c:pt>
                <c:pt idx="96">
                  <c:v>2020-10-28</c:v>
                </c:pt>
                <c:pt idx="97">
                  <c:v>2020-12-16</c:v>
                </c:pt>
                <c:pt idx="98">
                  <c:v>2021-01-12</c:v>
                </c:pt>
                <c:pt idx="99">
                  <c:v>2021-01-26</c:v>
                </c:pt>
                <c:pt idx="100">
                  <c:v>2021-03-04</c:v>
                </c:pt>
                <c:pt idx="101">
                  <c:v>2021-03-10</c:v>
                </c:pt>
                <c:pt idx="102">
                  <c:v>2021-03-18</c:v>
                </c:pt>
                <c:pt idx="103">
                  <c:v>2021-04-05</c:v>
                </c:pt>
                <c:pt idx="104">
                  <c:v>2021-04-07</c:v>
                </c:pt>
                <c:pt idx="105">
                  <c:v>2021-04-15</c:v>
                </c:pt>
                <c:pt idx="106">
                  <c:v>2021-04-16</c:v>
                </c:pt>
                <c:pt idx="107">
                  <c:v>2021-04-19</c:v>
                </c:pt>
                <c:pt idx="108">
                  <c:v>2021-04-29</c:v>
                </c:pt>
                <c:pt idx="109">
                  <c:v>2021-05-07</c:v>
                </c:pt>
                <c:pt idx="110">
                  <c:v>2021-06-14</c:v>
                </c:pt>
                <c:pt idx="111">
                  <c:v>2021-06-17</c:v>
                </c:pt>
                <c:pt idx="112">
                  <c:v>2021-06-18</c:v>
                </c:pt>
                <c:pt idx="113">
                  <c:v>2021-06-28</c:v>
                </c:pt>
                <c:pt idx="114">
                  <c:v>2021-07-23</c:v>
                </c:pt>
                <c:pt idx="115">
                  <c:v>2021-08-02</c:v>
                </c:pt>
                <c:pt idx="116">
                  <c:v>2021-08-06</c:v>
                </c:pt>
                <c:pt idx="117">
                  <c:v>2021-08-10</c:v>
                </c:pt>
                <c:pt idx="118">
                  <c:v>2021-08-26</c:v>
                </c:pt>
                <c:pt idx="119">
                  <c:v>2021-09-01</c:v>
                </c:pt>
                <c:pt idx="120">
                  <c:v>2021-09-15</c:v>
                </c:pt>
                <c:pt idx="121">
                  <c:v>2021-09-20</c:v>
                </c:pt>
                <c:pt idx="122">
                  <c:v>2021-09-27</c:v>
                </c:pt>
                <c:pt idx="123">
                  <c:v>2021-10-19</c:v>
                </c:pt>
                <c:pt idx="124">
                  <c:v>2021-10-22</c:v>
                </c:pt>
                <c:pt idx="125">
                  <c:v>2021-11-17</c:v>
                </c:pt>
                <c:pt idx="126">
                  <c:v>2021-11-18</c:v>
                </c:pt>
                <c:pt idx="127">
                  <c:v>2021-12-01</c:v>
                </c:pt>
                <c:pt idx="128">
                  <c:v>2021-12-07</c:v>
                </c:pt>
                <c:pt idx="129">
                  <c:v>2022-01-04</c:v>
                </c:pt>
                <c:pt idx="130">
                  <c:v>2022-01-19</c:v>
                </c:pt>
                <c:pt idx="131">
                  <c:v>2022-03-04</c:v>
                </c:pt>
                <c:pt idx="132">
                  <c:v>2022-03-16</c:v>
                </c:pt>
                <c:pt idx="133">
                  <c:v>2022-03-22</c:v>
                </c:pt>
                <c:pt idx="134">
                  <c:v>2022-03-25</c:v>
                </c:pt>
                <c:pt idx="135">
                  <c:v>2022-03-28</c:v>
                </c:pt>
                <c:pt idx="136">
                  <c:v>2022-04-22</c:v>
                </c:pt>
                <c:pt idx="137">
                  <c:v>2022-04-25</c:v>
                </c:pt>
                <c:pt idx="138">
                  <c:v>2022-04-27</c:v>
                </c:pt>
                <c:pt idx="139">
                  <c:v>2022-05-06</c:v>
                </c:pt>
                <c:pt idx="140">
                  <c:v>2022-05-27</c:v>
                </c:pt>
                <c:pt idx="141">
                  <c:v>2022-06-13</c:v>
                </c:pt>
                <c:pt idx="142">
                  <c:v>2022-06-16</c:v>
                </c:pt>
                <c:pt idx="143">
                  <c:v>2022-07-28</c:v>
                </c:pt>
                <c:pt idx="144">
                  <c:v>2022-07-29</c:v>
                </c:pt>
                <c:pt idx="145">
                  <c:v>2022-08-30</c:v>
                </c:pt>
                <c:pt idx="146">
                  <c:v>2022-09-21</c:v>
                </c:pt>
                <c:pt idx="147">
                  <c:v>2022-09-23</c:v>
                </c:pt>
                <c:pt idx="148">
                  <c:v>2022-10-06</c:v>
                </c:pt>
                <c:pt idx="149">
                  <c:v>2022-10-24</c:v>
                </c:pt>
                <c:pt idx="150">
                  <c:v>2022-10-25</c:v>
                </c:pt>
                <c:pt idx="151">
                  <c:v>2022-12-06</c:v>
                </c:pt>
                <c:pt idx="152">
                  <c:v>2023-01-09</c:v>
                </c:pt>
                <c:pt idx="153">
                  <c:v>2023-01-12</c:v>
                </c:pt>
                <c:pt idx="154">
                  <c:v>2023-01-18</c:v>
                </c:pt>
                <c:pt idx="155">
                  <c:v>2023-01-31</c:v>
                </c:pt>
                <c:pt idx="156">
                  <c:v>2023-02-10</c:v>
                </c:pt>
                <c:pt idx="157">
                  <c:v>2023-02-17</c:v>
                </c:pt>
                <c:pt idx="158">
                  <c:v>2023-03-27</c:v>
                </c:pt>
                <c:pt idx="159">
                  <c:v>2023-04-05</c:v>
                </c:pt>
                <c:pt idx="160">
                  <c:v>2023-04-28</c:v>
                </c:pt>
                <c:pt idx="161">
                  <c:v>2023-05-17</c:v>
                </c:pt>
                <c:pt idx="162">
                  <c:v>2023-05-19</c:v>
                </c:pt>
                <c:pt idx="163">
                  <c:v>2023-06-07</c:v>
                </c:pt>
                <c:pt idx="164">
                  <c:v>2023-08-08</c:v>
                </c:pt>
                <c:pt idx="165">
                  <c:v>2023-08-09</c:v>
                </c:pt>
                <c:pt idx="166">
                  <c:v>2023-08-15</c:v>
                </c:pt>
                <c:pt idx="167">
                  <c:v>2023-08-18</c:v>
                </c:pt>
                <c:pt idx="168">
                  <c:v>2023-08-31</c:v>
                </c:pt>
                <c:pt idx="169">
                  <c:v>2023-09-21</c:v>
                </c:pt>
                <c:pt idx="170">
                  <c:v>2023-10-02</c:v>
                </c:pt>
                <c:pt idx="171">
                  <c:v>2023-10-11</c:v>
                </c:pt>
                <c:pt idx="172">
                  <c:v>2023-10-26</c:v>
                </c:pt>
                <c:pt idx="173">
                  <c:v>2023-11-07</c:v>
                </c:pt>
                <c:pt idx="174">
                  <c:v>2023-11-14</c:v>
                </c:pt>
                <c:pt idx="175">
                  <c:v>2024-01-25</c:v>
                </c:pt>
                <c:pt idx="176">
                  <c:v>2024-02-02</c:v>
                </c:pt>
                <c:pt idx="177">
                  <c:v>2024-04-04</c:v>
                </c:pt>
                <c:pt idx="178">
                  <c:v>2024-04-12</c:v>
                </c:pt>
                <c:pt idx="179">
                  <c:v>2024-04-19</c:v>
                </c:pt>
                <c:pt idx="180">
                  <c:v>2024-05-09</c:v>
                </c:pt>
                <c:pt idx="181">
                  <c:v>2024-05-14</c:v>
                </c:pt>
                <c:pt idx="182">
                  <c:v>2024-05-15</c:v>
                </c:pt>
                <c:pt idx="183">
                  <c:v>2024-07-19</c:v>
                </c:pt>
                <c:pt idx="184">
                  <c:v>2024-07-24</c:v>
                </c:pt>
                <c:pt idx="185">
                  <c:v>2024-08-05</c:v>
                </c:pt>
                <c:pt idx="186">
                  <c:v>2024-08-23</c:v>
                </c:pt>
                <c:pt idx="187">
                  <c:v>2024-09-10</c:v>
                </c:pt>
                <c:pt idx="188">
                  <c:v>2024-09-19</c:v>
                </c:pt>
                <c:pt idx="189">
                  <c:v>2024-09-20</c:v>
                </c:pt>
                <c:pt idx="190">
                  <c:v>2024-09-26</c:v>
                </c:pt>
                <c:pt idx="191">
                  <c:v>2024-10-02</c:v>
                </c:pt>
                <c:pt idx="192">
                  <c:v>2024-10-09</c:v>
                </c:pt>
                <c:pt idx="193">
                  <c:v>2024-10-21</c:v>
                </c:pt>
                <c:pt idx="194">
                  <c:v>2024-10-29</c:v>
                </c:pt>
                <c:pt idx="195">
                  <c:v>2024-11-11</c:v>
                </c:pt>
                <c:pt idx="196">
                  <c:v>2024-12-12</c:v>
                </c:pt>
                <c:pt idx="197">
                  <c:v>2024-12-16</c:v>
                </c:pt>
                <c:pt idx="198">
                  <c:v>2024-12-17</c:v>
                </c:pt>
                <c:pt idx="199">
                  <c:v>2025-01-02</c:v>
                </c:pt>
                <c:pt idx="200">
                  <c:v>2025-01-10</c:v>
                </c:pt>
                <c:pt idx="201">
                  <c:v>2025-01-16</c:v>
                </c:pt>
                <c:pt idx="202">
                  <c:v>2025-01-21</c:v>
                </c:pt>
                <c:pt idx="203">
                  <c:v>2025-01-24</c:v>
                </c:pt>
                <c:pt idx="204">
                  <c:v>2025-02-27</c:v>
                </c:pt>
                <c:pt idx="205">
                  <c:v>2025-03-04</c:v>
                </c:pt>
                <c:pt idx="206">
                  <c:v>2025-03-06</c:v>
                </c:pt>
                <c:pt idx="207">
                  <c:v>2025-05-02</c:v>
                </c:pt>
                <c:pt idx="208">
                  <c:v>2025-05-06</c:v>
                </c:pt>
                <c:pt idx="209">
                  <c:v>2025-07-28</c:v>
                </c:pt>
                <c:pt idx="210">
                  <c:v>2025-08-04</c:v>
                </c:pt>
                <c:pt idx="211">
                  <c:v>2025-08-05</c:v>
                </c:pt>
                <c:pt idx="212">
                  <c:v>2025-08-13</c:v>
                </c:pt>
                <c:pt idx="213">
                  <c:v>2025-10-10</c:v>
                </c:pt>
                <c:pt idx="214">
                  <c:v>2025-10-14</c:v>
                </c:pt>
                <c:pt idx="215">
                  <c:v>2025-10-24</c:v>
                </c:pt>
                <c:pt idx="216">
                  <c:v>2025-10-28</c:v>
                </c:pt>
                <c:pt idx="217">
                  <c:v>2025-11-18</c:v>
                </c:pt>
                <c:pt idx="218">
                  <c:v>2025-11-25</c:v>
                </c:pt>
                <c:pt idx="219">
                  <c:v>2025-12-02</c:v>
                </c:pt>
                <c:pt idx="220">
                  <c:v>2025-12-05</c:v>
                </c:pt>
                <c:pt idx="221">
                  <c:v>2025-12-10</c:v>
                </c:pt>
                <c:pt idx="222">
                  <c:v>2026-01-16</c:v>
                </c:pt>
                <c:pt idx="223">
                  <c:v>2026-01-27</c:v>
                </c:pt>
                <c:pt idx="224">
                  <c:v>2026-01-29</c:v>
                </c:pt>
                <c:pt idx="225">
                  <c:v>2026-02-04</c:v>
                </c:pt>
                <c:pt idx="226">
                  <c:v>2026-02-05</c:v>
                </c:pt>
                <c:pt idx="227">
                  <c:v>2026-02-11</c:v>
                </c:pt>
                <c:pt idx="228">
                  <c:v>2026-03-06</c:v>
                </c:pt>
                <c:pt idx="229">
                  <c:v>2026-03-12</c:v>
                </c:pt>
                <c:pt idx="230">
                  <c:v>2026-04-09</c:v>
                </c:pt>
                <c:pt idx="231">
                  <c:v>2026-04-13</c:v>
                </c:pt>
                <c:pt idx="232">
                  <c:v>2026-04-14</c:v>
                </c:pt>
                <c:pt idx="233">
                  <c:v>2026-05-18</c:v>
                </c:pt>
                <c:pt idx="234">
                  <c:v>2026-05-19</c:v>
                </c:pt>
                <c:pt idx="235">
                  <c:v>2026-06-15</c:v>
                </c:pt>
                <c:pt idx="236">
                  <c:v>2026-07-17</c:v>
                </c:pt>
                <c:pt idx="237">
                  <c:v>2026-07-28</c:v>
                </c:pt>
                <c:pt idx="238">
                  <c:v>2026-07-29</c:v>
                </c:pt>
                <c:pt idx="239">
                  <c:v>2026-08-04</c:v>
                </c:pt>
                <c:pt idx="240">
                  <c:v>2026-08-28</c:v>
                </c:pt>
                <c:pt idx="241">
                  <c:v>2026-09-10</c:v>
                </c:pt>
              </c:strCache>
            </c:strRef>
          </c:cat>
          <c:val>
            <c:numRef>
              <c:f>Bitacora!$B$2:$B$243</c:f>
              <c:numCache>
                <c:formatCode>General</c:formatCode>
                <c:ptCount val="242"/>
                <c:pt idx="0">
                  <c:v>16</c:v>
                </c:pt>
                <c:pt idx="1">
                  <c:v>3</c:v>
                </c:pt>
                <c:pt idx="2">
                  <c:v>35</c:v>
                </c:pt>
                <c:pt idx="3">
                  <c:v>1</c:v>
                </c:pt>
                <c:pt idx="4">
                  <c:v>13</c:v>
                </c:pt>
                <c:pt idx="5">
                  <c:v>3</c:v>
                </c:pt>
                <c:pt idx="6">
                  <c:v>14</c:v>
                </c:pt>
                <c:pt idx="7">
                  <c:v>25</c:v>
                </c:pt>
                <c:pt idx="8">
                  <c:v>19</c:v>
                </c:pt>
                <c:pt idx="9">
                  <c:v>12</c:v>
                </c:pt>
                <c:pt idx="10">
                  <c:v>12</c:v>
                </c:pt>
                <c:pt idx="11">
                  <c:v>8</c:v>
                </c:pt>
                <c:pt idx="12">
                  <c:v>1</c:v>
                </c:pt>
                <c:pt idx="13">
                  <c:v>8</c:v>
                </c:pt>
                <c:pt idx="14">
                  <c:v>19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10</c:v>
                </c:pt>
                <c:pt idx="23">
                  <c:v>20</c:v>
                </c:pt>
                <c:pt idx="24">
                  <c:v>5</c:v>
                </c:pt>
                <c:pt idx="25">
                  <c:v>5</c:v>
                </c:pt>
                <c:pt idx="26">
                  <c:v>14</c:v>
                </c:pt>
                <c:pt idx="27">
                  <c:v>25</c:v>
                </c:pt>
                <c:pt idx="28">
                  <c:v>23</c:v>
                </c:pt>
                <c:pt idx="29">
                  <c:v>1</c:v>
                </c:pt>
                <c:pt idx="30">
                  <c:v>22</c:v>
                </c:pt>
                <c:pt idx="31">
                  <c:v>10</c:v>
                </c:pt>
                <c:pt idx="32">
                  <c:v>43</c:v>
                </c:pt>
                <c:pt idx="33">
                  <c:v>5</c:v>
                </c:pt>
                <c:pt idx="34">
                  <c:v>17</c:v>
                </c:pt>
                <c:pt idx="35">
                  <c:v>4</c:v>
                </c:pt>
                <c:pt idx="36">
                  <c:v>32</c:v>
                </c:pt>
                <c:pt idx="37">
                  <c:v>8</c:v>
                </c:pt>
                <c:pt idx="38">
                  <c:v>14</c:v>
                </c:pt>
                <c:pt idx="39">
                  <c:v>6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1</c:v>
                </c:pt>
                <c:pt idx="44">
                  <c:v>10</c:v>
                </c:pt>
                <c:pt idx="45">
                  <c:v>2</c:v>
                </c:pt>
                <c:pt idx="46">
                  <c:v>10</c:v>
                </c:pt>
                <c:pt idx="47">
                  <c:v>23</c:v>
                </c:pt>
                <c:pt idx="48">
                  <c:v>10</c:v>
                </c:pt>
                <c:pt idx="49">
                  <c:v>32</c:v>
                </c:pt>
                <c:pt idx="50">
                  <c:v>18</c:v>
                </c:pt>
                <c:pt idx="51">
                  <c:v>16</c:v>
                </c:pt>
                <c:pt idx="52">
                  <c:v>10</c:v>
                </c:pt>
                <c:pt idx="53">
                  <c:v>24</c:v>
                </c:pt>
                <c:pt idx="54">
                  <c:v>23</c:v>
                </c:pt>
                <c:pt idx="55">
                  <c:v>4</c:v>
                </c:pt>
                <c:pt idx="56">
                  <c:v>5</c:v>
                </c:pt>
                <c:pt idx="57">
                  <c:v>3</c:v>
                </c:pt>
                <c:pt idx="58">
                  <c:v>2</c:v>
                </c:pt>
                <c:pt idx="59">
                  <c:v>3</c:v>
                </c:pt>
                <c:pt idx="60">
                  <c:v>35</c:v>
                </c:pt>
                <c:pt idx="61">
                  <c:v>10</c:v>
                </c:pt>
                <c:pt idx="62">
                  <c:v>22</c:v>
                </c:pt>
                <c:pt idx="63">
                  <c:v>4</c:v>
                </c:pt>
                <c:pt idx="64">
                  <c:v>3</c:v>
                </c:pt>
                <c:pt idx="65">
                  <c:v>36</c:v>
                </c:pt>
                <c:pt idx="66">
                  <c:v>8</c:v>
                </c:pt>
                <c:pt idx="67">
                  <c:v>9</c:v>
                </c:pt>
                <c:pt idx="68">
                  <c:v>17</c:v>
                </c:pt>
                <c:pt idx="69">
                  <c:v>1</c:v>
                </c:pt>
                <c:pt idx="70">
                  <c:v>8</c:v>
                </c:pt>
                <c:pt idx="71">
                  <c:v>10</c:v>
                </c:pt>
                <c:pt idx="72">
                  <c:v>40</c:v>
                </c:pt>
                <c:pt idx="73">
                  <c:v>21</c:v>
                </c:pt>
                <c:pt idx="74">
                  <c:v>37</c:v>
                </c:pt>
                <c:pt idx="75">
                  <c:v>6</c:v>
                </c:pt>
                <c:pt idx="76">
                  <c:v>1</c:v>
                </c:pt>
                <c:pt idx="77">
                  <c:v>16</c:v>
                </c:pt>
                <c:pt idx="78">
                  <c:v>6</c:v>
                </c:pt>
                <c:pt idx="79">
                  <c:v>26</c:v>
                </c:pt>
                <c:pt idx="80">
                  <c:v>14</c:v>
                </c:pt>
                <c:pt idx="81">
                  <c:v>8</c:v>
                </c:pt>
                <c:pt idx="82">
                  <c:v>5</c:v>
                </c:pt>
                <c:pt idx="83">
                  <c:v>1</c:v>
                </c:pt>
                <c:pt idx="84">
                  <c:v>30</c:v>
                </c:pt>
                <c:pt idx="85">
                  <c:v>1</c:v>
                </c:pt>
                <c:pt idx="86">
                  <c:v>2</c:v>
                </c:pt>
                <c:pt idx="87">
                  <c:v>16</c:v>
                </c:pt>
                <c:pt idx="88">
                  <c:v>2</c:v>
                </c:pt>
                <c:pt idx="89">
                  <c:v>23</c:v>
                </c:pt>
                <c:pt idx="90">
                  <c:v>11</c:v>
                </c:pt>
                <c:pt idx="91">
                  <c:v>9</c:v>
                </c:pt>
                <c:pt idx="92">
                  <c:v>3</c:v>
                </c:pt>
                <c:pt idx="93">
                  <c:v>38</c:v>
                </c:pt>
                <c:pt idx="94">
                  <c:v>22</c:v>
                </c:pt>
                <c:pt idx="95">
                  <c:v>14</c:v>
                </c:pt>
                <c:pt idx="96">
                  <c:v>34</c:v>
                </c:pt>
                <c:pt idx="97">
                  <c:v>17</c:v>
                </c:pt>
                <c:pt idx="98">
                  <c:v>9</c:v>
                </c:pt>
                <c:pt idx="99">
                  <c:v>26</c:v>
                </c:pt>
                <c:pt idx="100">
                  <c:v>4</c:v>
                </c:pt>
                <c:pt idx="101">
                  <c:v>6</c:v>
                </c:pt>
                <c:pt idx="102">
                  <c:v>11</c:v>
                </c:pt>
                <c:pt idx="103">
                  <c:v>2</c:v>
                </c:pt>
                <c:pt idx="104">
                  <c:v>6</c:v>
                </c:pt>
                <c:pt idx="105">
                  <c:v>1</c:v>
                </c:pt>
                <c:pt idx="106">
                  <c:v>1</c:v>
                </c:pt>
                <c:pt idx="107">
                  <c:v>8</c:v>
                </c:pt>
                <c:pt idx="108">
                  <c:v>6</c:v>
                </c:pt>
                <c:pt idx="109">
                  <c:v>25</c:v>
                </c:pt>
                <c:pt idx="110">
                  <c:v>3</c:v>
                </c:pt>
                <c:pt idx="111">
                  <c:v>1</c:v>
                </c:pt>
                <c:pt idx="112">
                  <c:v>6</c:v>
                </c:pt>
                <c:pt idx="113">
                  <c:v>18</c:v>
                </c:pt>
                <c:pt idx="114">
                  <c:v>6</c:v>
                </c:pt>
                <c:pt idx="115">
                  <c:v>4</c:v>
                </c:pt>
                <c:pt idx="116">
                  <c:v>2</c:v>
                </c:pt>
                <c:pt idx="117">
                  <c:v>12</c:v>
                </c:pt>
                <c:pt idx="118">
                  <c:v>4</c:v>
                </c:pt>
                <c:pt idx="119">
                  <c:v>9</c:v>
                </c:pt>
                <c:pt idx="120">
                  <c:v>3</c:v>
                </c:pt>
                <c:pt idx="121">
                  <c:v>5</c:v>
                </c:pt>
                <c:pt idx="122">
                  <c:v>16</c:v>
                </c:pt>
                <c:pt idx="123">
                  <c:v>3</c:v>
                </c:pt>
                <c:pt idx="124">
                  <c:v>18</c:v>
                </c:pt>
                <c:pt idx="125">
                  <c:v>1</c:v>
                </c:pt>
                <c:pt idx="126">
                  <c:v>8</c:v>
                </c:pt>
                <c:pt idx="127">
                  <c:v>4</c:v>
                </c:pt>
                <c:pt idx="128">
                  <c:v>19</c:v>
                </c:pt>
                <c:pt idx="129">
                  <c:v>10</c:v>
                </c:pt>
                <c:pt idx="130">
                  <c:v>31</c:v>
                </c:pt>
                <c:pt idx="131">
                  <c:v>8</c:v>
                </c:pt>
                <c:pt idx="132">
                  <c:v>4</c:v>
                </c:pt>
                <c:pt idx="133">
                  <c:v>3</c:v>
                </c:pt>
                <c:pt idx="134">
                  <c:v>1</c:v>
                </c:pt>
                <c:pt idx="135">
                  <c:v>18</c:v>
                </c:pt>
                <c:pt idx="136">
                  <c:v>1</c:v>
                </c:pt>
                <c:pt idx="137">
                  <c:v>2</c:v>
                </c:pt>
                <c:pt idx="138">
                  <c:v>7</c:v>
                </c:pt>
                <c:pt idx="139">
                  <c:v>15</c:v>
                </c:pt>
                <c:pt idx="140">
                  <c:v>10</c:v>
                </c:pt>
                <c:pt idx="141">
                  <c:v>3</c:v>
                </c:pt>
                <c:pt idx="142">
                  <c:v>28</c:v>
                </c:pt>
                <c:pt idx="143">
                  <c:v>1</c:v>
                </c:pt>
                <c:pt idx="144">
                  <c:v>22</c:v>
                </c:pt>
                <c:pt idx="145">
                  <c:v>15</c:v>
                </c:pt>
                <c:pt idx="146">
                  <c:v>2</c:v>
                </c:pt>
                <c:pt idx="147">
                  <c:v>9</c:v>
                </c:pt>
                <c:pt idx="148">
                  <c:v>12</c:v>
                </c:pt>
                <c:pt idx="149">
                  <c:v>1</c:v>
                </c:pt>
                <c:pt idx="150">
                  <c:v>29</c:v>
                </c:pt>
                <c:pt idx="151">
                  <c:v>22</c:v>
                </c:pt>
                <c:pt idx="152">
                  <c:v>3</c:v>
                </c:pt>
                <c:pt idx="153">
                  <c:v>3</c:v>
                </c:pt>
                <c:pt idx="154">
                  <c:v>9</c:v>
                </c:pt>
                <c:pt idx="155">
                  <c:v>8</c:v>
                </c:pt>
                <c:pt idx="156">
                  <c:v>5</c:v>
                </c:pt>
                <c:pt idx="157">
                  <c:v>25</c:v>
                </c:pt>
                <c:pt idx="158">
                  <c:v>7</c:v>
                </c:pt>
                <c:pt idx="159">
                  <c:v>16</c:v>
                </c:pt>
                <c:pt idx="160">
                  <c:v>13</c:v>
                </c:pt>
                <c:pt idx="161">
                  <c:v>2</c:v>
                </c:pt>
                <c:pt idx="162">
                  <c:v>12</c:v>
                </c:pt>
                <c:pt idx="163">
                  <c:v>42</c:v>
                </c:pt>
                <c:pt idx="164">
                  <c:v>1</c:v>
                </c:pt>
                <c:pt idx="165">
                  <c:v>4</c:v>
                </c:pt>
                <c:pt idx="166">
                  <c:v>3</c:v>
                </c:pt>
                <c:pt idx="167">
                  <c:v>9</c:v>
                </c:pt>
                <c:pt idx="168">
                  <c:v>14</c:v>
                </c:pt>
                <c:pt idx="169">
                  <c:v>7</c:v>
                </c:pt>
                <c:pt idx="170">
                  <c:v>7</c:v>
                </c:pt>
                <c:pt idx="171">
                  <c:v>11</c:v>
                </c:pt>
                <c:pt idx="172">
                  <c:v>8</c:v>
                </c:pt>
                <c:pt idx="173">
                  <c:v>5</c:v>
                </c:pt>
                <c:pt idx="174">
                  <c:v>48</c:v>
                </c:pt>
                <c:pt idx="175">
                  <c:v>6</c:v>
                </c:pt>
                <c:pt idx="176">
                  <c:v>42</c:v>
                </c:pt>
                <c:pt idx="177">
                  <c:v>6</c:v>
                </c:pt>
                <c:pt idx="178">
                  <c:v>5</c:v>
                </c:pt>
                <c:pt idx="179">
                  <c:v>14</c:v>
                </c:pt>
                <c:pt idx="180">
                  <c:v>3</c:v>
                </c:pt>
                <c:pt idx="181">
                  <c:v>1</c:v>
                </c:pt>
                <c:pt idx="182">
                  <c:v>44</c:v>
                </c:pt>
                <c:pt idx="183">
                  <c:v>3</c:v>
                </c:pt>
                <c:pt idx="184">
                  <c:v>8</c:v>
                </c:pt>
                <c:pt idx="185">
                  <c:v>14</c:v>
                </c:pt>
                <c:pt idx="186">
                  <c:v>11</c:v>
                </c:pt>
                <c:pt idx="187">
                  <c:v>7</c:v>
                </c:pt>
                <c:pt idx="188">
                  <c:v>1</c:v>
                </c:pt>
                <c:pt idx="189">
                  <c:v>4</c:v>
                </c:pt>
                <c:pt idx="190">
                  <c:v>4</c:v>
                </c:pt>
                <c:pt idx="191">
                  <c:v>5</c:v>
                </c:pt>
                <c:pt idx="192">
                  <c:v>8</c:v>
                </c:pt>
                <c:pt idx="193">
                  <c:v>6</c:v>
                </c:pt>
                <c:pt idx="194">
                  <c:v>9</c:v>
                </c:pt>
                <c:pt idx="195">
                  <c:v>22</c:v>
                </c:pt>
                <c:pt idx="196">
                  <c:v>2</c:v>
                </c:pt>
                <c:pt idx="197">
                  <c:v>1</c:v>
                </c:pt>
                <c:pt idx="198">
                  <c:v>10</c:v>
                </c:pt>
                <c:pt idx="199">
                  <c:v>5</c:v>
                </c:pt>
                <c:pt idx="200">
                  <c:v>4</c:v>
                </c:pt>
                <c:pt idx="201">
                  <c:v>2</c:v>
                </c:pt>
                <c:pt idx="202">
                  <c:v>3</c:v>
                </c:pt>
                <c:pt idx="203">
                  <c:v>23</c:v>
                </c:pt>
                <c:pt idx="204">
                  <c:v>3</c:v>
                </c:pt>
                <c:pt idx="205">
                  <c:v>2</c:v>
                </c:pt>
                <c:pt idx="206">
                  <c:v>40</c:v>
                </c:pt>
                <c:pt idx="207">
                  <c:v>2</c:v>
                </c:pt>
                <c:pt idx="208">
                  <c:v>56</c:v>
                </c:pt>
                <c:pt idx="209">
                  <c:v>5</c:v>
                </c:pt>
                <c:pt idx="210">
                  <c:v>1</c:v>
                </c:pt>
                <c:pt idx="211">
                  <c:v>6</c:v>
                </c:pt>
                <c:pt idx="212">
                  <c:v>41</c:v>
                </c:pt>
                <c:pt idx="213">
                  <c:v>2</c:v>
                </c:pt>
                <c:pt idx="214">
                  <c:v>8</c:v>
                </c:pt>
                <c:pt idx="215">
                  <c:v>2</c:v>
                </c:pt>
                <c:pt idx="216">
                  <c:v>15</c:v>
                </c:pt>
                <c:pt idx="217">
                  <c:v>5</c:v>
                </c:pt>
                <c:pt idx="218">
                  <c:v>4</c:v>
                </c:pt>
                <c:pt idx="219">
                  <c:v>3</c:v>
                </c:pt>
                <c:pt idx="220">
                  <c:v>3</c:v>
                </c:pt>
                <c:pt idx="221">
                  <c:v>25</c:v>
                </c:pt>
                <c:pt idx="222">
                  <c:v>6</c:v>
                </c:pt>
                <c:pt idx="223">
                  <c:v>2</c:v>
                </c:pt>
                <c:pt idx="224">
                  <c:v>4</c:v>
                </c:pt>
                <c:pt idx="225">
                  <c:v>1</c:v>
                </c:pt>
                <c:pt idx="226">
                  <c:v>4</c:v>
                </c:pt>
                <c:pt idx="227">
                  <c:v>16</c:v>
                </c:pt>
                <c:pt idx="228">
                  <c:v>4</c:v>
                </c:pt>
                <c:pt idx="229">
                  <c:v>19</c:v>
                </c:pt>
                <c:pt idx="230">
                  <c:v>2</c:v>
                </c:pt>
                <c:pt idx="231">
                  <c:v>1</c:v>
                </c:pt>
                <c:pt idx="232">
                  <c:v>24</c:v>
                </c:pt>
                <c:pt idx="233">
                  <c:v>1</c:v>
                </c:pt>
                <c:pt idx="234">
                  <c:v>18</c:v>
                </c:pt>
                <c:pt idx="235">
                  <c:v>22</c:v>
                </c:pt>
                <c:pt idx="236">
                  <c:v>7</c:v>
                </c:pt>
                <c:pt idx="237">
                  <c:v>1</c:v>
                </c:pt>
                <c:pt idx="238">
                  <c:v>4</c:v>
                </c:pt>
                <c:pt idx="239">
                  <c:v>18</c:v>
                </c:pt>
                <c:pt idx="240">
                  <c:v>8</c:v>
                </c:pt>
                <c:pt idx="24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BF-434E-93D7-2D6A001E8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873704"/>
        <c:axId val="73020725"/>
      </c:lineChart>
      <c:catAx>
        <c:axId val="25873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Fecha del cambio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73020725"/>
        <c:crosses val="autoZero"/>
        <c:auto val="1"/>
        <c:lblAlgn val="ctr"/>
        <c:lblOffset val="100"/>
        <c:noMultiLvlLbl val="0"/>
      </c:catAx>
      <c:valAx>
        <c:axId val="73020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AR" sz="1000" b="1" strike="noStrike" spc="-1">
                    <a:solidFill>
                      <a:srgbClr val="000000"/>
                    </a:solidFill>
                    <a:latin typeface="Calibri"/>
                  </a:rPr>
                  <a:t>Dias que dura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25873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160920</xdr:rowOff>
    </xdr:from>
    <xdr:to>
      <xdr:col>12</xdr:col>
      <xdr:colOff>511410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160560</xdr:rowOff>
    </xdr:from>
    <xdr:to>
      <xdr:col>16</xdr:col>
      <xdr:colOff>583665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257DA6-A567-4862-826A-AC95F19A86E4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7628b533-4b2a-4e10-bf60-056abb3b5a5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3"/>
  <sheetViews>
    <sheetView tabSelected="1" zoomScaleNormal="100" workbookViewId="0">
      <pane ySplit="1" topLeftCell="A80" activePane="bottomLeft" state="frozen"/>
      <selection pane="bottomLeft" activeCell="K15" sqref="K15"/>
    </sheetView>
  </sheetViews>
  <sheetFormatPr baseColWidth="10" defaultColWidth="8.6640625" defaultRowHeight="14.4" x14ac:dyDescent="0.3"/>
  <cols>
    <col min="1" max="1" width="12" customWidth="1"/>
    <col min="2" max="2" width="14" customWidth="1"/>
    <col min="3" max="3" width="34" customWidth="1"/>
    <col min="4" max="4" width="46" customWidth="1"/>
    <col min="6" max="17" width="7.44140625" customWidth="1"/>
    <col min="18" max="19" width="15.77734375" customWidth="1"/>
  </cols>
  <sheetData>
    <row r="1" spans="1:19" ht="69.599999999999994" x14ac:dyDescent="0.3">
      <c r="A1" s="1" t="s">
        <v>0</v>
      </c>
      <c r="B1" s="1" t="s">
        <v>1</v>
      </c>
      <c r="C1" s="1" t="s">
        <v>2</v>
      </c>
      <c r="D1" s="1" t="s">
        <v>3</v>
      </c>
      <c r="F1" s="15" t="s">
        <v>448</v>
      </c>
      <c r="G1" s="15" t="s">
        <v>449</v>
      </c>
      <c r="H1" s="15" t="s">
        <v>450</v>
      </c>
      <c r="I1" s="15" t="s">
        <v>451</v>
      </c>
      <c r="J1" s="15" t="s">
        <v>452</v>
      </c>
      <c r="K1" s="15" t="s">
        <v>453</v>
      </c>
      <c r="L1" s="15" t="s">
        <v>454</v>
      </c>
      <c r="M1" s="15" t="s">
        <v>455</v>
      </c>
      <c r="N1" s="15" t="s">
        <v>456</v>
      </c>
      <c r="O1" s="15" t="s">
        <v>457</v>
      </c>
      <c r="P1" s="15" t="s">
        <v>458</v>
      </c>
      <c r="Q1" s="15" t="s">
        <v>459</v>
      </c>
      <c r="R1" s="15" t="s">
        <v>460</v>
      </c>
      <c r="S1" s="15" t="s">
        <v>461</v>
      </c>
    </row>
    <row r="2" spans="1:19" x14ac:dyDescent="0.3">
      <c r="A2" s="2" t="s">
        <v>4</v>
      </c>
      <c r="B2" s="2">
        <v>16</v>
      </c>
      <c r="C2" s="2" t="s">
        <v>5</v>
      </c>
      <c r="D2" s="2" t="s">
        <v>6</v>
      </c>
      <c r="F2" s="17">
        <f>_xlfn.LET(_xlpm.t," "&amp;$C2&amp;" ",_xlpm.p,SEARCH(" "&amp;F$1&amp;" ",_xlpm.t),IFERROR(ROUND(VALUE(MID(_xlpm.t,_xlpm.p+LEN(F$1)+2,FIND("%",_xlpm.t,_xlpm.p)-_xlpm.p-LEN(F$1)-2))*3/100,0)/3,0))</f>
        <v>1</v>
      </c>
      <c r="G2" s="17">
        <f t="shared" ref="G2:Q17" si="0">_xlfn.LET(_xlpm.t," "&amp;$C2&amp;" ",_xlpm.p,SEARCH(" "&amp;G$1&amp;" ",_xlpm.t),IFERROR(ROUND(VALUE(MID(_xlpm.t,_xlpm.p+LEN(G$1)+2,FIND("%",_xlpm.t,_xlpm.p)-_xlpm.p-LEN(G$1)-2))*3/100,0)/3,0))</f>
        <v>0</v>
      </c>
      <c r="H2" s="17">
        <f t="shared" si="0"/>
        <v>0</v>
      </c>
      <c r="I2" s="17">
        <f t="shared" si="0"/>
        <v>0</v>
      </c>
      <c r="J2" s="17">
        <f t="shared" si="0"/>
        <v>0</v>
      </c>
      <c r="K2" s="17">
        <f t="shared" si="0"/>
        <v>0</v>
      </c>
      <c r="L2" s="17">
        <f t="shared" si="0"/>
        <v>0</v>
      </c>
      <c r="M2" s="17">
        <f t="shared" si="0"/>
        <v>0</v>
      </c>
      <c r="N2" s="17">
        <f t="shared" si="0"/>
        <v>0</v>
      </c>
      <c r="O2" s="17">
        <f t="shared" si="0"/>
        <v>0</v>
      </c>
      <c r="P2" s="17">
        <f t="shared" si="0"/>
        <v>0</v>
      </c>
      <c r="Q2" s="17">
        <f t="shared" si="0"/>
        <v>0</v>
      </c>
      <c r="R2" s="18">
        <f>SUM(F2:Q2)</f>
        <v>1</v>
      </c>
      <c r="S2" s="18">
        <f>SUM(G2:Q2)</f>
        <v>0</v>
      </c>
    </row>
    <row r="3" spans="1:19" x14ac:dyDescent="0.3">
      <c r="A3" s="2" t="s">
        <v>7</v>
      </c>
      <c r="B3" s="2">
        <v>3</v>
      </c>
      <c r="C3" s="2" t="s">
        <v>8</v>
      </c>
      <c r="D3" s="2" t="s">
        <v>9</v>
      </c>
      <c r="F3" s="17">
        <f t="shared" ref="F3:Q66" si="1">_xlfn.LET(_xlpm.t," "&amp;$C3&amp;" ",_xlpm.p,SEARCH(" "&amp;F$1&amp;" ",_xlpm.t),IFERROR(ROUND(VALUE(MID(_xlpm.t,_xlpm.p+LEN(F$1)+2,FIND("%",_xlpm.t,_xlpm.p)-_xlpm.p-LEN(F$1)-2))*3/100,0)/3,0))</f>
        <v>0.33333333333333331</v>
      </c>
      <c r="G3" s="17">
        <f t="shared" si="0"/>
        <v>0</v>
      </c>
      <c r="H3" s="17">
        <f t="shared" si="0"/>
        <v>0</v>
      </c>
      <c r="I3" s="17">
        <f t="shared" si="0"/>
        <v>0</v>
      </c>
      <c r="J3" s="17">
        <f t="shared" si="0"/>
        <v>0</v>
      </c>
      <c r="K3" s="17">
        <f t="shared" si="0"/>
        <v>0</v>
      </c>
      <c r="L3" s="17">
        <f t="shared" si="0"/>
        <v>0</v>
      </c>
      <c r="M3" s="17">
        <f t="shared" si="0"/>
        <v>0.33333333333333331</v>
      </c>
      <c r="N3" s="17">
        <f t="shared" si="0"/>
        <v>0</v>
      </c>
      <c r="O3" s="17">
        <f t="shared" si="0"/>
        <v>0.33333333333333331</v>
      </c>
      <c r="P3" s="17">
        <f t="shared" si="0"/>
        <v>0</v>
      </c>
      <c r="Q3" s="17">
        <f t="shared" si="0"/>
        <v>0</v>
      </c>
      <c r="R3" s="18" cm="1">
        <f t="array" ref="R3">SUMPRODUCT(ABS(F3:Q3-F2:Q2))</f>
        <v>1.3333333333333333</v>
      </c>
      <c r="S3" s="18" cm="1">
        <f t="array" ref="S3">SUMPRODUCT(ABS(G3:Q3-G2:Q2))</f>
        <v>0.66666666666666663</v>
      </c>
    </row>
    <row r="4" spans="1:19" x14ac:dyDescent="0.3">
      <c r="A4" s="2" t="s">
        <v>10</v>
      </c>
      <c r="B4" s="2">
        <v>35</v>
      </c>
      <c r="C4" s="2" t="s">
        <v>11</v>
      </c>
      <c r="D4" s="2" t="s">
        <v>12</v>
      </c>
      <c r="F4" s="17">
        <f t="shared" si="1"/>
        <v>0</v>
      </c>
      <c r="G4" s="17">
        <f t="shared" si="0"/>
        <v>0</v>
      </c>
      <c r="H4" s="17">
        <f t="shared" si="0"/>
        <v>0</v>
      </c>
      <c r="I4" s="17">
        <f t="shared" si="0"/>
        <v>0</v>
      </c>
      <c r="J4" s="17">
        <f t="shared" si="0"/>
        <v>0</v>
      </c>
      <c r="K4" s="17">
        <f t="shared" si="0"/>
        <v>0</v>
      </c>
      <c r="L4" s="17">
        <f t="shared" si="0"/>
        <v>0</v>
      </c>
      <c r="M4" s="17">
        <f t="shared" si="0"/>
        <v>0.33333333333333331</v>
      </c>
      <c r="N4" s="17">
        <f t="shared" si="0"/>
        <v>0</v>
      </c>
      <c r="O4" s="17">
        <f t="shared" si="0"/>
        <v>0.33333333333333331</v>
      </c>
      <c r="P4" s="17">
        <f t="shared" si="0"/>
        <v>0</v>
      </c>
      <c r="Q4" s="17">
        <f t="shared" si="0"/>
        <v>0.33333333333333331</v>
      </c>
      <c r="R4" s="18" cm="1">
        <f t="array" ref="R4">SUMPRODUCT(ABS(F4:Q4-F3:Q3))</f>
        <v>0.66666666666666663</v>
      </c>
      <c r="S4" s="18" cm="1">
        <f t="array" ref="S4">SUMPRODUCT(ABS(G4:Q4-G3:Q3))</f>
        <v>0.33333333333333331</v>
      </c>
    </row>
    <row r="5" spans="1:19" x14ac:dyDescent="0.3">
      <c r="A5" s="2" t="s">
        <v>13</v>
      </c>
      <c r="B5" s="2">
        <v>1</v>
      </c>
      <c r="C5" s="2" t="s">
        <v>14</v>
      </c>
      <c r="D5" s="2" t="s">
        <v>15</v>
      </c>
      <c r="F5" s="17">
        <f t="shared" si="1"/>
        <v>0.33333333333333331</v>
      </c>
      <c r="G5" s="17">
        <f t="shared" si="0"/>
        <v>0</v>
      </c>
      <c r="H5" s="17">
        <f t="shared" si="0"/>
        <v>0</v>
      </c>
      <c r="I5" s="17">
        <f t="shared" si="0"/>
        <v>0</v>
      </c>
      <c r="J5" s="17">
        <f t="shared" si="0"/>
        <v>0</v>
      </c>
      <c r="K5" s="17">
        <f t="shared" si="0"/>
        <v>0</v>
      </c>
      <c r="L5" s="17">
        <f t="shared" si="0"/>
        <v>0</v>
      </c>
      <c r="M5" s="17">
        <f t="shared" si="0"/>
        <v>0.33333333333333331</v>
      </c>
      <c r="N5" s="17">
        <f t="shared" si="0"/>
        <v>0</v>
      </c>
      <c r="O5" s="17">
        <f t="shared" si="0"/>
        <v>0</v>
      </c>
      <c r="P5" s="17">
        <f t="shared" si="0"/>
        <v>0</v>
      </c>
      <c r="Q5" s="17">
        <f t="shared" si="0"/>
        <v>0.33333333333333331</v>
      </c>
      <c r="R5" s="18" cm="1">
        <f t="array" ref="R5">SUMPRODUCT(ABS(F5:Q5-F4:Q4))</f>
        <v>0.66666666666666663</v>
      </c>
      <c r="S5" s="18" cm="1">
        <f t="array" ref="S5">SUMPRODUCT(ABS(G5:Q5-G4:Q4))</f>
        <v>0.33333333333333331</v>
      </c>
    </row>
    <row r="6" spans="1:19" x14ac:dyDescent="0.3">
      <c r="A6" s="2" t="s">
        <v>16</v>
      </c>
      <c r="B6" s="2">
        <v>13</v>
      </c>
      <c r="C6" s="2" t="s">
        <v>17</v>
      </c>
      <c r="D6" s="2" t="s">
        <v>18</v>
      </c>
      <c r="F6" s="17">
        <f t="shared" si="1"/>
        <v>0.66666666666666663</v>
      </c>
      <c r="G6" s="17">
        <f t="shared" si="0"/>
        <v>0</v>
      </c>
      <c r="H6" s="17">
        <f t="shared" si="0"/>
        <v>0</v>
      </c>
      <c r="I6" s="17">
        <f t="shared" si="0"/>
        <v>0</v>
      </c>
      <c r="J6" s="17">
        <f t="shared" si="0"/>
        <v>0</v>
      </c>
      <c r="K6" s="17">
        <f t="shared" si="0"/>
        <v>0</v>
      </c>
      <c r="L6" s="17">
        <f t="shared" si="0"/>
        <v>0</v>
      </c>
      <c r="M6" s="17">
        <f t="shared" si="0"/>
        <v>0</v>
      </c>
      <c r="N6" s="17">
        <f t="shared" si="0"/>
        <v>0</v>
      </c>
      <c r="O6" s="17">
        <f t="shared" si="0"/>
        <v>0</v>
      </c>
      <c r="P6" s="17">
        <f t="shared" si="0"/>
        <v>0</v>
      </c>
      <c r="Q6" s="17">
        <f t="shared" si="0"/>
        <v>0.33333333333333331</v>
      </c>
      <c r="R6" s="18" cm="1">
        <f t="array" ref="R6">SUMPRODUCT(ABS(F6:Q6-F5:Q5))</f>
        <v>0.66666666666666663</v>
      </c>
      <c r="S6" s="18" cm="1">
        <f t="array" ref="S6">SUMPRODUCT(ABS(G6:Q6-G5:Q5))</f>
        <v>0.33333333333333331</v>
      </c>
    </row>
    <row r="7" spans="1:19" x14ac:dyDescent="0.3">
      <c r="A7" s="2" t="s">
        <v>19</v>
      </c>
      <c r="B7" s="2">
        <v>3</v>
      </c>
      <c r="C7" s="2" t="s">
        <v>14</v>
      </c>
      <c r="D7" s="2" t="s">
        <v>20</v>
      </c>
      <c r="F7" s="17">
        <f t="shared" si="1"/>
        <v>0.33333333333333331</v>
      </c>
      <c r="G7" s="17">
        <f t="shared" si="0"/>
        <v>0</v>
      </c>
      <c r="H7" s="17">
        <f t="shared" si="0"/>
        <v>0</v>
      </c>
      <c r="I7" s="17">
        <f t="shared" si="0"/>
        <v>0</v>
      </c>
      <c r="J7" s="17">
        <f t="shared" si="0"/>
        <v>0</v>
      </c>
      <c r="K7" s="17">
        <f t="shared" si="0"/>
        <v>0</v>
      </c>
      <c r="L7" s="17">
        <f t="shared" si="0"/>
        <v>0</v>
      </c>
      <c r="M7" s="17">
        <f t="shared" si="0"/>
        <v>0.33333333333333331</v>
      </c>
      <c r="N7" s="17">
        <f t="shared" si="0"/>
        <v>0</v>
      </c>
      <c r="O7" s="17">
        <f t="shared" si="0"/>
        <v>0</v>
      </c>
      <c r="P7" s="17">
        <f t="shared" si="0"/>
        <v>0</v>
      </c>
      <c r="Q7" s="17">
        <f t="shared" si="0"/>
        <v>0.33333333333333331</v>
      </c>
      <c r="R7" s="18" cm="1">
        <f t="array" ref="R7">SUMPRODUCT(ABS(F7:Q7-F6:Q6))</f>
        <v>0.66666666666666663</v>
      </c>
      <c r="S7" s="18" cm="1">
        <f t="array" ref="S7">SUMPRODUCT(ABS(G7:Q7-G6:Q6))</f>
        <v>0.33333333333333331</v>
      </c>
    </row>
    <row r="8" spans="1:19" x14ac:dyDescent="0.3">
      <c r="A8" s="2" t="s">
        <v>21</v>
      </c>
      <c r="B8" s="2">
        <v>14</v>
      </c>
      <c r="C8" s="2" t="s">
        <v>22</v>
      </c>
      <c r="D8" s="2" t="s">
        <v>23</v>
      </c>
      <c r="F8" s="17">
        <f t="shared" si="1"/>
        <v>0.66666666666666663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0.33333333333333331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8" cm="1">
        <f t="array" ref="R8">SUMPRODUCT(ABS(F8:Q8-F7:Q7))</f>
        <v>0.66666666666666663</v>
      </c>
      <c r="S8" s="18" cm="1">
        <f t="array" ref="S8">SUMPRODUCT(ABS(G8:Q8-G7:Q7))</f>
        <v>0.33333333333333331</v>
      </c>
    </row>
    <row r="9" spans="1:19" x14ac:dyDescent="0.3">
      <c r="A9" s="2" t="s">
        <v>24</v>
      </c>
      <c r="B9" s="2">
        <v>25</v>
      </c>
      <c r="C9" s="2" t="s">
        <v>8</v>
      </c>
      <c r="D9" s="2" t="s">
        <v>25</v>
      </c>
      <c r="F9" s="17">
        <f t="shared" si="1"/>
        <v>0.33333333333333331</v>
      </c>
      <c r="G9" s="17">
        <f t="shared" si="0"/>
        <v>0</v>
      </c>
      <c r="H9" s="17">
        <f t="shared" si="0"/>
        <v>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17">
        <f t="shared" si="0"/>
        <v>0</v>
      </c>
      <c r="M9" s="17">
        <f t="shared" si="0"/>
        <v>0.33333333333333331</v>
      </c>
      <c r="N9" s="17">
        <f t="shared" si="0"/>
        <v>0</v>
      </c>
      <c r="O9" s="17">
        <f t="shared" si="0"/>
        <v>0.33333333333333331</v>
      </c>
      <c r="P9" s="17">
        <f t="shared" si="0"/>
        <v>0</v>
      </c>
      <c r="Q9" s="17">
        <f t="shared" si="0"/>
        <v>0</v>
      </c>
      <c r="R9" s="18" cm="1">
        <f t="array" ref="R9">SUMPRODUCT(ABS(F9:Q9-F8:Q8))</f>
        <v>0.66666666666666663</v>
      </c>
      <c r="S9" s="18" cm="1">
        <f t="array" ref="S9">SUMPRODUCT(ABS(G9:Q9-G8:Q8))</f>
        <v>0.33333333333333331</v>
      </c>
    </row>
    <row r="10" spans="1:19" x14ac:dyDescent="0.3">
      <c r="A10" s="2" t="s">
        <v>26</v>
      </c>
      <c r="B10" s="2">
        <v>19</v>
      </c>
      <c r="C10" s="2" t="s">
        <v>27</v>
      </c>
      <c r="D10" s="2" t="s">
        <v>28</v>
      </c>
      <c r="F10" s="17">
        <f t="shared" si="1"/>
        <v>0</v>
      </c>
      <c r="G10" s="17">
        <f t="shared" si="0"/>
        <v>0</v>
      </c>
      <c r="H10" s="17">
        <f t="shared" si="0"/>
        <v>0</v>
      </c>
      <c r="I10" s="17">
        <f t="shared" si="0"/>
        <v>0</v>
      </c>
      <c r="J10" s="17">
        <f t="shared" si="0"/>
        <v>0</v>
      </c>
      <c r="K10" s="17">
        <f t="shared" si="0"/>
        <v>0</v>
      </c>
      <c r="L10" s="17">
        <f t="shared" si="0"/>
        <v>0.33333333333333331</v>
      </c>
      <c r="M10" s="17">
        <f t="shared" si="0"/>
        <v>0.33333333333333331</v>
      </c>
      <c r="N10" s="17">
        <f t="shared" si="0"/>
        <v>0</v>
      </c>
      <c r="O10" s="17">
        <f t="shared" si="0"/>
        <v>0.33333333333333331</v>
      </c>
      <c r="P10" s="17">
        <f t="shared" si="0"/>
        <v>0</v>
      </c>
      <c r="Q10" s="17">
        <f t="shared" si="0"/>
        <v>0</v>
      </c>
      <c r="R10" s="18" cm="1">
        <f t="array" ref="R10">SUMPRODUCT(ABS(F10:Q10-F9:Q9))</f>
        <v>0.66666666666666663</v>
      </c>
      <c r="S10" s="18" cm="1">
        <f t="array" ref="S10">SUMPRODUCT(ABS(G10:Q10-G9:Q9))</f>
        <v>0.33333333333333331</v>
      </c>
    </row>
    <row r="11" spans="1:19" x14ac:dyDescent="0.3">
      <c r="A11" s="2" t="s">
        <v>29</v>
      </c>
      <c r="B11" s="2">
        <v>12</v>
      </c>
      <c r="C11" s="2" t="s">
        <v>30</v>
      </c>
      <c r="D11" s="2" t="s">
        <v>15</v>
      </c>
      <c r="F11" s="17">
        <f t="shared" si="1"/>
        <v>0.33333333333333331</v>
      </c>
      <c r="G11" s="17">
        <f t="shared" si="0"/>
        <v>0</v>
      </c>
      <c r="H11" s="17">
        <f t="shared" si="0"/>
        <v>0</v>
      </c>
      <c r="I11" s="17">
        <f t="shared" si="0"/>
        <v>0</v>
      </c>
      <c r="J11" s="17">
        <f t="shared" si="0"/>
        <v>0</v>
      </c>
      <c r="K11" s="17">
        <f t="shared" si="0"/>
        <v>0</v>
      </c>
      <c r="L11" s="17">
        <f t="shared" si="0"/>
        <v>0.33333333333333331</v>
      </c>
      <c r="M11" s="17">
        <f t="shared" si="0"/>
        <v>0.33333333333333331</v>
      </c>
      <c r="N11" s="17">
        <f t="shared" si="0"/>
        <v>0</v>
      </c>
      <c r="O11" s="17">
        <f t="shared" si="0"/>
        <v>0</v>
      </c>
      <c r="P11" s="17">
        <f t="shared" si="0"/>
        <v>0</v>
      </c>
      <c r="Q11" s="17">
        <f t="shared" si="0"/>
        <v>0</v>
      </c>
      <c r="R11" s="18" cm="1">
        <f t="array" ref="R11">SUMPRODUCT(ABS(F11:Q11-F10:Q10))</f>
        <v>0.66666666666666663</v>
      </c>
      <c r="S11" s="18" cm="1">
        <f t="array" ref="S11">SUMPRODUCT(ABS(G11:Q11-G10:Q10))</f>
        <v>0.33333333333333331</v>
      </c>
    </row>
    <row r="12" spans="1:19" x14ac:dyDescent="0.3">
      <c r="A12" s="2" t="s">
        <v>31</v>
      </c>
      <c r="B12" s="2">
        <v>12</v>
      </c>
      <c r="C12" s="2" t="s">
        <v>32</v>
      </c>
      <c r="D12" s="2" t="s">
        <v>33</v>
      </c>
      <c r="F12" s="17">
        <f t="shared" si="1"/>
        <v>0</v>
      </c>
      <c r="G12" s="17">
        <f t="shared" si="0"/>
        <v>0.33333333333333331</v>
      </c>
      <c r="H12" s="17">
        <f t="shared" si="0"/>
        <v>0</v>
      </c>
      <c r="I12" s="17">
        <f t="shared" si="0"/>
        <v>0</v>
      </c>
      <c r="J12" s="17">
        <f t="shared" si="0"/>
        <v>0</v>
      </c>
      <c r="K12" s="17">
        <f t="shared" si="0"/>
        <v>0</v>
      </c>
      <c r="L12" s="17">
        <f t="shared" si="0"/>
        <v>0.33333333333333331</v>
      </c>
      <c r="M12" s="17">
        <f t="shared" si="0"/>
        <v>0.33333333333333331</v>
      </c>
      <c r="N12" s="17">
        <f t="shared" si="0"/>
        <v>0</v>
      </c>
      <c r="O12" s="17">
        <f t="shared" si="0"/>
        <v>0</v>
      </c>
      <c r="P12" s="17">
        <f t="shared" si="0"/>
        <v>0</v>
      </c>
      <c r="Q12" s="17">
        <f t="shared" si="0"/>
        <v>0</v>
      </c>
      <c r="R12" s="18" cm="1">
        <f t="array" ref="R12">SUMPRODUCT(ABS(F12:Q12-F11:Q11))</f>
        <v>0.66666666666666663</v>
      </c>
      <c r="S12" s="18" cm="1">
        <f t="array" ref="S12">SUMPRODUCT(ABS(G12:Q12-G11:Q11))</f>
        <v>0.33333333333333331</v>
      </c>
    </row>
    <row r="13" spans="1:19" x14ac:dyDescent="0.3">
      <c r="A13" s="2" t="s">
        <v>34</v>
      </c>
      <c r="B13" s="2">
        <v>8</v>
      </c>
      <c r="C13" s="2" t="s">
        <v>5</v>
      </c>
      <c r="D13" s="2" t="s">
        <v>35</v>
      </c>
      <c r="F13" s="17">
        <f t="shared" si="1"/>
        <v>1</v>
      </c>
      <c r="G13" s="17">
        <f t="shared" si="0"/>
        <v>0</v>
      </c>
      <c r="H13" s="17">
        <f t="shared" si="0"/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17">
        <f t="shared" si="0"/>
        <v>0</v>
      </c>
      <c r="M13" s="17">
        <f t="shared" si="0"/>
        <v>0</v>
      </c>
      <c r="N13" s="17">
        <f t="shared" si="0"/>
        <v>0</v>
      </c>
      <c r="O13" s="17">
        <f t="shared" si="0"/>
        <v>0</v>
      </c>
      <c r="P13" s="17">
        <f t="shared" si="0"/>
        <v>0</v>
      </c>
      <c r="Q13" s="17">
        <f t="shared" si="0"/>
        <v>0</v>
      </c>
      <c r="R13" s="18" cm="1">
        <f t="array" ref="R13">SUMPRODUCT(ABS(F13:Q13-F12:Q12))</f>
        <v>1.9999999999999998</v>
      </c>
      <c r="S13" s="18" cm="1">
        <f t="array" ref="S13">SUMPRODUCT(ABS(G13:Q13-G12:Q12))</f>
        <v>1</v>
      </c>
    </row>
    <row r="14" spans="1:19" x14ac:dyDescent="0.3">
      <c r="A14" s="2" t="s">
        <v>36</v>
      </c>
      <c r="B14" s="2">
        <v>1</v>
      </c>
      <c r="C14" s="2" t="s">
        <v>37</v>
      </c>
      <c r="D14" s="2" t="s">
        <v>38</v>
      </c>
      <c r="F14" s="17">
        <f t="shared" si="1"/>
        <v>0.66666666666666663</v>
      </c>
      <c r="G14" s="17">
        <f t="shared" si="0"/>
        <v>0</v>
      </c>
      <c r="H14" s="17">
        <f t="shared" si="0"/>
        <v>0</v>
      </c>
      <c r="I14" s="17">
        <f t="shared" si="0"/>
        <v>0</v>
      </c>
      <c r="J14" s="17">
        <f t="shared" si="0"/>
        <v>0</v>
      </c>
      <c r="K14" s="17">
        <f t="shared" si="0"/>
        <v>0</v>
      </c>
      <c r="L14" s="17">
        <f t="shared" si="0"/>
        <v>0</v>
      </c>
      <c r="M14" s="17">
        <f t="shared" si="0"/>
        <v>0</v>
      </c>
      <c r="N14" s="17">
        <f t="shared" si="0"/>
        <v>0</v>
      </c>
      <c r="O14" s="17">
        <f t="shared" si="0"/>
        <v>0.33333333333333331</v>
      </c>
      <c r="P14" s="17">
        <f t="shared" si="0"/>
        <v>0</v>
      </c>
      <c r="Q14" s="17">
        <f t="shared" si="0"/>
        <v>0</v>
      </c>
      <c r="R14" s="18" cm="1">
        <f t="array" ref="R14">SUMPRODUCT(ABS(F14:Q14-F13:Q13))</f>
        <v>0.66666666666666674</v>
      </c>
      <c r="S14" s="18" cm="1">
        <f t="array" ref="S14">SUMPRODUCT(ABS(G14:Q14-G13:Q13))</f>
        <v>0.33333333333333331</v>
      </c>
    </row>
    <row r="15" spans="1:19" x14ac:dyDescent="0.3">
      <c r="A15" s="2" t="s">
        <v>39</v>
      </c>
      <c r="B15" s="2">
        <v>8</v>
      </c>
      <c r="C15" s="2" t="s">
        <v>40</v>
      </c>
      <c r="D15" s="2" t="s">
        <v>41</v>
      </c>
      <c r="F15" s="17">
        <f t="shared" si="1"/>
        <v>0.33333333333333331</v>
      </c>
      <c r="G15" s="17">
        <f t="shared" si="0"/>
        <v>0</v>
      </c>
      <c r="H15" s="17">
        <f t="shared" si="0"/>
        <v>0</v>
      </c>
      <c r="I15" s="17">
        <f t="shared" si="0"/>
        <v>0</v>
      </c>
      <c r="J15" s="17">
        <f t="shared" si="0"/>
        <v>0</v>
      </c>
      <c r="K15" s="17">
        <f t="shared" si="0"/>
        <v>0</v>
      </c>
      <c r="L15" s="17">
        <f t="shared" si="0"/>
        <v>0.33333333333333331</v>
      </c>
      <c r="M15" s="17">
        <f t="shared" si="0"/>
        <v>0</v>
      </c>
      <c r="N15" s="17">
        <f t="shared" si="0"/>
        <v>0</v>
      </c>
      <c r="O15" s="17">
        <f t="shared" si="0"/>
        <v>0.33333333333333331</v>
      </c>
      <c r="P15" s="17">
        <f t="shared" si="0"/>
        <v>0</v>
      </c>
      <c r="Q15" s="17">
        <f t="shared" si="0"/>
        <v>0</v>
      </c>
      <c r="R15" s="18" cm="1">
        <f t="array" ref="R15">SUMPRODUCT(ABS(F15:Q15-F14:Q14))</f>
        <v>0.66666666666666663</v>
      </c>
      <c r="S15" s="18" cm="1">
        <f t="array" ref="S15">SUMPRODUCT(ABS(G15:Q15-G14:Q14))</f>
        <v>0.33333333333333331</v>
      </c>
    </row>
    <row r="16" spans="1:19" x14ac:dyDescent="0.3">
      <c r="A16" s="2" t="s">
        <v>42</v>
      </c>
      <c r="B16" s="2">
        <v>19</v>
      </c>
      <c r="C16" s="2" t="s">
        <v>43</v>
      </c>
      <c r="D16" s="2" t="s">
        <v>44</v>
      </c>
      <c r="F16" s="17">
        <f t="shared" si="1"/>
        <v>0.66666666666666663</v>
      </c>
      <c r="G16" s="17">
        <f t="shared" si="0"/>
        <v>0</v>
      </c>
      <c r="H16" s="17">
        <f t="shared" si="0"/>
        <v>0</v>
      </c>
      <c r="I16" s="17">
        <f t="shared" si="0"/>
        <v>0</v>
      </c>
      <c r="J16" s="17">
        <f t="shared" si="0"/>
        <v>0</v>
      </c>
      <c r="K16" s="17">
        <f t="shared" si="0"/>
        <v>0</v>
      </c>
      <c r="L16" s="17">
        <f t="shared" si="0"/>
        <v>0.33333333333333331</v>
      </c>
      <c r="M16" s="17">
        <f t="shared" si="0"/>
        <v>0</v>
      </c>
      <c r="N16" s="17">
        <f t="shared" si="0"/>
        <v>0</v>
      </c>
      <c r="O16" s="17">
        <f t="shared" si="0"/>
        <v>0</v>
      </c>
      <c r="P16" s="17">
        <f t="shared" si="0"/>
        <v>0</v>
      </c>
      <c r="Q16" s="17">
        <f t="shared" si="0"/>
        <v>0</v>
      </c>
      <c r="R16" s="18" cm="1">
        <f t="array" ref="R16">SUMPRODUCT(ABS(F16:Q16-F15:Q15))</f>
        <v>0.66666666666666663</v>
      </c>
      <c r="S16" s="18" cm="1">
        <f t="array" ref="S16">SUMPRODUCT(ABS(G16:Q16-G15:Q15))</f>
        <v>0.33333333333333331</v>
      </c>
    </row>
    <row r="17" spans="1:19" x14ac:dyDescent="0.3">
      <c r="A17" s="2" t="s">
        <v>45</v>
      </c>
      <c r="B17" s="2">
        <v>3</v>
      </c>
      <c r="C17" s="2" t="s">
        <v>40</v>
      </c>
      <c r="D17" s="2" t="s">
        <v>25</v>
      </c>
      <c r="F17" s="17">
        <f t="shared" si="1"/>
        <v>0.33333333333333331</v>
      </c>
      <c r="G17" s="17">
        <f t="shared" si="0"/>
        <v>0</v>
      </c>
      <c r="H17" s="17">
        <f t="shared" si="0"/>
        <v>0</v>
      </c>
      <c r="I17" s="17">
        <f t="shared" si="0"/>
        <v>0</v>
      </c>
      <c r="J17" s="17">
        <f t="shared" si="0"/>
        <v>0</v>
      </c>
      <c r="K17" s="17">
        <f t="shared" si="0"/>
        <v>0</v>
      </c>
      <c r="L17" s="17">
        <f t="shared" si="0"/>
        <v>0.33333333333333331</v>
      </c>
      <c r="M17" s="17">
        <f t="shared" si="0"/>
        <v>0</v>
      </c>
      <c r="N17" s="17">
        <f t="shared" si="0"/>
        <v>0</v>
      </c>
      <c r="O17" s="17">
        <f t="shared" si="0"/>
        <v>0.33333333333333331</v>
      </c>
      <c r="P17" s="17">
        <f t="shared" si="0"/>
        <v>0</v>
      </c>
      <c r="Q17" s="17">
        <f t="shared" si="0"/>
        <v>0</v>
      </c>
      <c r="R17" s="18" cm="1">
        <f t="array" ref="R17">SUMPRODUCT(ABS(F17:Q17-F16:Q16))</f>
        <v>0.66666666666666663</v>
      </c>
      <c r="S17" s="18" cm="1">
        <f t="array" ref="S17">SUMPRODUCT(ABS(G17:Q17-G16:Q16))</f>
        <v>0.33333333333333331</v>
      </c>
    </row>
    <row r="18" spans="1:19" x14ac:dyDescent="0.3">
      <c r="A18" s="2" t="s">
        <v>46</v>
      </c>
      <c r="B18" s="2">
        <v>4</v>
      </c>
      <c r="C18" s="2" t="s">
        <v>37</v>
      </c>
      <c r="D18" s="2" t="s">
        <v>47</v>
      </c>
      <c r="F18" s="17">
        <f t="shared" si="1"/>
        <v>0.66666666666666663</v>
      </c>
      <c r="G18" s="17">
        <f t="shared" si="1"/>
        <v>0</v>
      </c>
      <c r="H18" s="17">
        <f t="shared" si="1"/>
        <v>0</v>
      </c>
      <c r="I18" s="17">
        <f t="shared" si="1"/>
        <v>0</v>
      </c>
      <c r="J18" s="17">
        <f t="shared" si="1"/>
        <v>0</v>
      </c>
      <c r="K18" s="17">
        <f t="shared" si="1"/>
        <v>0</v>
      </c>
      <c r="L18" s="17">
        <f t="shared" si="1"/>
        <v>0</v>
      </c>
      <c r="M18" s="17">
        <f t="shared" si="1"/>
        <v>0</v>
      </c>
      <c r="N18" s="17">
        <f t="shared" si="1"/>
        <v>0</v>
      </c>
      <c r="O18" s="17">
        <f t="shared" si="1"/>
        <v>0.33333333333333331</v>
      </c>
      <c r="P18" s="17">
        <f t="shared" si="1"/>
        <v>0</v>
      </c>
      <c r="Q18" s="17">
        <f t="shared" si="1"/>
        <v>0</v>
      </c>
      <c r="R18" s="18" cm="1">
        <f t="array" ref="R18">SUMPRODUCT(ABS(F18:Q18-F17:Q17))</f>
        <v>0.66666666666666663</v>
      </c>
      <c r="S18" s="18" cm="1">
        <f t="array" ref="S18">SUMPRODUCT(ABS(G18:Q18-G17:Q17))</f>
        <v>0.33333333333333331</v>
      </c>
    </row>
    <row r="19" spans="1:19" x14ac:dyDescent="0.3">
      <c r="A19" s="2" t="s">
        <v>48</v>
      </c>
      <c r="B19" s="2">
        <v>1</v>
      </c>
      <c r="C19" s="2" t="s">
        <v>49</v>
      </c>
      <c r="D19" s="2" t="s">
        <v>50</v>
      </c>
      <c r="F19" s="17">
        <f t="shared" si="1"/>
        <v>0.33333333333333331</v>
      </c>
      <c r="G19" s="17">
        <f t="shared" si="1"/>
        <v>0</v>
      </c>
      <c r="H19" s="17">
        <f t="shared" si="1"/>
        <v>0</v>
      </c>
      <c r="I19" s="17">
        <f t="shared" si="1"/>
        <v>0</v>
      </c>
      <c r="J19" s="17">
        <f t="shared" si="1"/>
        <v>0</v>
      </c>
      <c r="K19" s="17">
        <f t="shared" si="1"/>
        <v>0.33333333333333331</v>
      </c>
      <c r="L19" s="17">
        <f t="shared" si="1"/>
        <v>0</v>
      </c>
      <c r="M19" s="17">
        <f t="shared" si="1"/>
        <v>0</v>
      </c>
      <c r="N19" s="17">
        <f t="shared" si="1"/>
        <v>0</v>
      </c>
      <c r="O19" s="17">
        <f t="shared" si="1"/>
        <v>0.33333333333333331</v>
      </c>
      <c r="P19" s="17">
        <f t="shared" si="1"/>
        <v>0</v>
      </c>
      <c r="Q19" s="17">
        <f t="shared" si="1"/>
        <v>0</v>
      </c>
      <c r="R19" s="18" cm="1">
        <f t="array" ref="R19">SUMPRODUCT(ABS(F19:Q19-F18:Q18))</f>
        <v>0.66666666666666663</v>
      </c>
      <c r="S19" s="18" cm="1">
        <f t="array" ref="S19">SUMPRODUCT(ABS(G19:Q19-G18:Q18))</f>
        <v>0.33333333333333331</v>
      </c>
    </row>
    <row r="20" spans="1:19" x14ac:dyDescent="0.3">
      <c r="A20" s="2" t="s">
        <v>51</v>
      </c>
      <c r="B20" s="2">
        <v>2</v>
      </c>
      <c r="C20" s="2" t="s">
        <v>52</v>
      </c>
      <c r="D20" s="2" t="s">
        <v>53</v>
      </c>
      <c r="F20" s="17">
        <f t="shared" si="1"/>
        <v>0.33333333333333331</v>
      </c>
      <c r="G20" s="17">
        <f t="shared" si="1"/>
        <v>0.33333333333333331</v>
      </c>
      <c r="H20" s="17">
        <f t="shared" si="1"/>
        <v>0</v>
      </c>
      <c r="I20" s="17">
        <f t="shared" si="1"/>
        <v>0</v>
      </c>
      <c r="J20" s="17">
        <f t="shared" si="1"/>
        <v>0</v>
      </c>
      <c r="K20" s="17">
        <f t="shared" si="1"/>
        <v>0.33333333333333331</v>
      </c>
      <c r="L20" s="17">
        <f t="shared" si="1"/>
        <v>0</v>
      </c>
      <c r="M20" s="17">
        <f t="shared" si="1"/>
        <v>0</v>
      </c>
      <c r="N20" s="17">
        <f t="shared" si="1"/>
        <v>0</v>
      </c>
      <c r="O20" s="17">
        <f t="shared" si="1"/>
        <v>0</v>
      </c>
      <c r="P20" s="17">
        <f t="shared" si="1"/>
        <v>0</v>
      </c>
      <c r="Q20" s="17">
        <f t="shared" si="1"/>
        <v>0</v>
      </c>
      <c r="R20" s="18" cm="1">
        <f t="array" ref="R20">SUMPRODUCT(ABS(F20:Q20-F19:Q19))</f>
        <v>0.66666666666666663</v>
      </c>
      <c r="S20" s="18" cm="1">
        <f t="array" ref="S20">SUMPRODUCT(ABS(G20:Q20-G19:Q19))</f>
        <v>0.66666666666666663</v>
      </c>
    </row>
    <row r="21" spans="1:19" x14ac:dyDescent="0.3">
      <c r="A21" s="2" t="s">
        <v>54</v>
      </c>
      <c r="B21" s="2">
        <v>4</v>
      </c>
      <c r="C21" s="2" t="s">
        <v>55</v>
      </c>
      <c r="D21" s="2" t="s">
        <v>56</v>
      </c>
      <c r="F21" s="17">
        <f t="shared" si="1"/>
        <v>0</v>
      </c>
      <c r="G21" s="17">
        <f t="shared" si="1"/>
        <v>0.33333333333333331</v>
      </c>
      <c r="H21" s="17">
        <f t="shared" si="1"/>
        <v>0</v>
      </c>
      <c r="I21" s="17">
        <f t="shared" si="1"/>
        <v>0</v>
      </c>
      <c r="J21" s="17">
        <f t="shared" si="1"/>
        <v>0.33333333333333331</v>
      </c>
      <c r="K21" s="17">
        <f t="shared" si="1"/>
        <v>0.33333333333333331</v>
      </c>
      <c r="L21" s="17">
        <f t="shared" si="1"/>
        <v>0</v>
      </c>
      <c r="M21" s="17">
        <f t="shared" si="1"/>
        <v>0</v>
      </c>
      <c r="N21" s="17">
        <f t="shared" si="1"/>
        <v>0</v>
      </c>
      <c r="O21" s="17">
        <f t="shared" si="1"/>
        <v>0</v>
      </c>
      <c r="P21" s="17">
        <f t="shared" si="1"/>
        <v>0</v>
      </c>
      <c r="Q21" s="17">
        <f t="shared" si="1"/>
        <v>0</v>
      </c>
      <c r="R21" s="18" cm="1">
        <f t="array" ref="R21">SUMPRODUCT(ABS(F21:Q21-F20:Q20))</f>
        <v>0.66666666666666663</v>
      </c>
      <c r="S21" s="18" cm="1">
        <f t="array" ref="S21">SUMPRODUCT(ABS(G21:Q21-G20:Q20))</f>
        <v>0.33333333333333331</v>
      </c>
    </row>
    <row r="22" spans="1:19" x14ac:dyDescent="0.3">
      <c r="A22" s="2" t="s">
        <v>57</v>
      </c>
      <c r="B22" s="2">
        <v>1</v>
      </c>
      <c r="C22" s="2" t="s">
        <v>58</v>
      </c>
      <c r="D22" s="2" t="s">
        <v>59</v>
      </c>
      <c r="F22" s="17">
        <f t="shared" si="1"/>
        <v>0.33333333333333331</v>
      </c>
      <c r="G22" s="17">
        <f t="shared" si="1"/>
        <v>0</v>
      </c>
      <c r="H22" s="17">
        <f t="shared" si="1"/>
        <v>0</v>
      </c>
      <c r="I22" s="17">
        <f t="shared" si="1"/>
        <v>0</v>
      </c>
      <c r="J22" s="17">
        <f t="shared" si="1"/>
        <v>0.33333333333333331</v>
      </c>
      <c r="K22" s="17">
        <f t="shared" si="1"/>
        <v>0.33333333333333331</v>
      </c>
      <c r="L22" s="17">
        <f t="shared" si="1"/>
        <v>0</v>
      </c>
      <c r="M22" s="17">
        <f t="shared" si="1"/>
        <v>0</v>
      </c>
      <c r="N22" s="17">
        <f t="shared" si="1"/>
        <v>0</v>
      </c>
      <c r="O22" s="17">
        <f t="shared" si="1"/>
        <v>0</v>
      </c>
      <c r="P22" s="17">
        <f t="shared" si="1"/>
        <v>0</v>
      </c>
      <c r="Q22" s="17">
        <f t="shared" si="1"/>
        <v>0</v>
      </c>
      <c r="R22" s="18" cm="1">
        <f t="array" ref="R22">SUMPRODUCT(ABS(F22:Q22-F21:Q21))</f>
        <v>0.66666666666666663</v>
      </c>
      <c r="S22" s="18" cm="1">
        <f t="array" ref="S22">SUMPRODUCT(ABS(G22:Q22-G21:Q21))</f>
        <v>0.33333333333333331</v>
      </c>
    </row>
    <row r="23" spans="1:19" x14ac:dyDescent="0.3">
      <c r="A23" s="2" t="s">
        <v>60</v>
      </c>
      <c r="B23" s="2">
        <v>2</v>
      </c>
      <c r="C23" s="2" t="s">
        <v>61</v>
      </c>
      <c r="D23" s="2" t="s">
        <v>62</v>
      </c>
      <c r="F23" s="17">
        <f t="shared" si="1"/>
        <v>0</v>
      </c>
      <c r="G23" s="17">
        <f t="shared" si="1"/>
        <v>0</v>
      </c>
      <c r="H23" s="17">
        <f t="shared" si="1"/>
        <v>0</v>
      </c>
      <c r="I23" s="17">
        <f t="shared" si="1"/>
        <v>0.33333333333333331</v>
      </c>
      <c r="J23" s="17">
        <f t="shared" si="1"/>
        <v>0.33333333333333331</v>
      </c>
      <c r="K23" s="17">
        <f t="shared" si="1"/>
        <v>0.33333333333333331</v>
      </c>
      <c r="L23" s="17">
        <f t="shared" si="1"/>
        <v>0</v>
      </c>
      <c r="M23" s="17">
        <f t="shared" si="1"/>
        <v>0</v>
      </c>
      <c r="N23" s="17">
        <f t="shared" si="1"/>
        <v>0</v>
      </c>
      <c r="O23" s="17">
        <f t="shared" si="1"/>
        <v>0</v>
      </c>
      <c r="P23" s="17">
        <f t="shared" si="1"/>
        <v>0</v>
      </c>
      <c r="Q23" s="17">
        <f t="shared" si="1"/>
        <v>0</v>
      </c>
      <c r="R23" s="18" cm="1">
        <f t="array" ref="R23">SUMPRODUCT(ABS(F23:Q23-F22:Q22))</f>
        <v>0.66666666666666663</v>
      </c>
      <c r="S23" s="18" cm="1">
        <f t="array" ref="S23">SUMPRODUCT(ABS(G23:Q23-G22:Q22))</f>
        <v>0.33333333333333331</v>
      </c>
    </row>
    <row r="24" spans="1:19" x14ac:dyDescent="0.3">
      <c r="A24" s="2" t="s">
        <v>63</v>
      </c>
      <c r="B24" s="2">
        <v>10</v>
      </c>
      <c r="C24" s="2" t="s">
        <v>58</v>
      </c>
      <c r="D24" s="2" t="s">
        <v>64</v>
      </c>
      <c r="F24" s="17">
        <f t="shared" si="1"/>
        <v>0.33333333333333331</v>
      </c>
      <c r="G24" s="17">
        <f t="shared" si="1"/>
        <v>0</v>
      </c>
      <c r="H24" s="17">
        <f t="shared" si="1"/>
        <v>0</v>
      </c>
      <c r="I24" s="17">
        <f t="shared" si="1"/>
        <v>0</v>
      </c>
      <c r="J24" s="17">
        <f t="shared" si="1"/>
        <v>0.33333333333333331</v>
      </c>
      <c r="K24" s="17">
        <f t="shared" si="1"/>
        <v>0.33333333333333331</v>
      </c>
      <c r="L24" s="17">
        <f t="shared" si="1"/>
        <v>0</v>
      </c>
      <c r="M24" s="17">
        <f t="shared" si="1"/>
        <v>0</v>
      </c>
      <c r="N24" s="17">
        <f t="shared" si="1"/>
        <v>0</v>
      </c>
      <c r="O24" s="17">
        <f t="shared" si="1"/>
        <v>0</v>
      </c>
      <c r="P24" s="17">
        <f t="shared" si="1"/>
        <v>0</v>
      </c>
      <c r="Q24" s="17">
        <f t="shared" si="1"/>
        <v>0</v>
      </c>
      <c r="R24" s="18" cm="1">
        <f t="array" ref="R24">SUMPRODUCT(ABS(F24:Q24-F23:Q23))</f>
        <v>0.66666666666666663</v>
      </c>
      <c r="S24" s="18" cm="1">
        <f t="array" ref="S24">SUMPRODUCT(ABS(G24:Q24-G23:Q23))</f>
        <v>0.33333333333333331</v>
      </c>
    </row>
    <row r="25" spans="1:19" x14ac:dyDescent="0.3">
      <c r="A25" s="2" t="s">
        <v>65</v>
      </c>
      <c r="B25" s="2">
        <v>20</v>
      </c>
      <c r="C25" s="2" t="s">
        <v>61</v>
      </c>
      <c r="D25" s="2" t="s">
        <v>62</v>
      </c>
      <c r="F25" s="17">
        <f t="shared" si="1"/>
        <v>0</v>
      </c>
      <c r="G25" s="17">
        <f t="shared" si="1"/>
        <v>0</v>
      </c>
      <c r="H25" s="17">
        <f t="shared" si="1"/>
        <v>0</v>
      </c>
      <c r="I25" s="17">
        <f t="shared" si="1"/>
        <v>0.33333333333333331</v>
      </c>
      <c r="J25" s="17">
        <f t="shared" si="1"/>
        <v>0.33333333333333331</v>
      </c>
      <c r="K25" s="17">
        <f t="shared" si="1"/>
        <v>0.33333333333333331</v>
      </c>
      <c r="L25" s="17">
        <f t="shared" si="1"/>
        <v>0</v>
      </c>
      <c r="M25" s="17">
        <f t="shared" si="1"/>
        <v>0</v>
      </c>
      <c r="N25" s="17">
        <f t="shared" si="1"/>
        <v>0</v>
      </c>
      <c r="O25" s="17">
        <f t="shared" si="1"/>
        <v>0</v>
      </c>
      <c r="P25" s="17">
        <f t="shared" si="1"/>
        <v>0</v>
      </c>
      <c r="Q25" s="17">
        <f t="shared" si="1"/>
        <v>0</v>
      </c>
      <c r="R25" s="18" cm="1">
        <f t="array" ref="R25">SUMPRODUCT(ABS(F25:Q25-F24:Q24))</f>
        <v>0.66666666666666663</v>
      </c>
      <c r="S25" s="18" cm="1">
        <f t="array" ref="S25">SUMPRODUCT(ABS(G25:Q25-G24:Q24))</f>
        <v>0.33333333333333331</v>
      </c>
    </row>
    <row r="26" spans="1:19" x14ac:dyDescent="0.3">
      <c r="A26" s="2" t="s">
        <v>66</v>
      </c>
      <c r="B26" s="2">
        <v>5</v>
      </c>
      <c r="C26" s="2" t="s">
        <v>58</v>
      </c>
      <c r="D26" s="2" t="s">
        <v>64</v>
      </c>
      <c r="F26" s="17">
        <f t="shared" si="1"/>
        <v>0.33333333333333331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0.33333333333333331</v>
      </c>
      <c r="K26" s="17">
        <f t="shared" si="1"/>
        <v>0.33333333333333331</v>
      </c>
      <c r="L26" s="17">
        <f t="shared" si="1"/>
        <v>0</v>
      </c>
      <c r="M26" s="17">
        <f t="shared" si="1"/>
        <v>0</v>
      </c>
      <c r="N26" s="17">
        <f t="shared" si="1"/>
        <v>0</v>
      </c>
      <c r="O26" s="17">
        <f t="shared" si="1"/>
        <v>0</v>
      </c>
      <c r="P26" s="17">
        <f t="shared" si="1"/>
        <v>0</v>
      </c>
      <c r="Q26" s="17">
        <f t="shared" si="1"/>
        <v>0</v>
      </c>
      <c r="R26" s="18" cm="1">
        <f t="array" ref="R26">SUMPRODUCT(ABS(F26:Q26-F25:Q25))</f>
        <v>0.66666666666666663</v>
      </c>
      <c r="S26" s="18" cm="1">
        <f t="array" ref="S26">SUMPRODUCT(ABS(G26:Q26-G25:Q25))</f>
        <v>0.33333333333333331</v>
      </c>
    </row>
    <row r="27" spans="1:19" x14ac:dyDescent="0.3">
      <c r="A27" s="2" t="s">
        <v>67</v>
      </c>
      <c r="B27" s="2">
        <v>5</v>
      </c>
      <c r="C27" s="2" t="s">
        <v>68</v>
      </c>
      <c r="D27" s="2" t="s">
        <v>69</v>
      </c>
      <c r="F27" s="17">
        <f t="shared" si="1"/>
        <v>0.66666666666666663</v>
      </c>
      <c r="G27" s="17">
        <f t="shared" si="1"/>
        <v>0</v>
      </c>
      <c r="H27" s="17">
        <f t="shared" si="1"/>
        <v>0</v>
      </c>
      <c r="I27" s="17">
        <f t="shared" si="1"/>
        <v>0</v>
      </c>
      <c r="J27" s="17">
        <f t="shared" si="1"/>
        <v>0</v>
      </c>
      <c r="K27" s="17">
        <f t="shared" si="1"/>
        <v>0.33333333333333331</v>
      </c>
      <c r="L27" s="17">
        <f t="shared" si="1"/>
        <v>0</v>
      </c>
      <c r="M27" s="17">
        <f t="shared" si="1"/>
        <v>0</v>
      </c>
      <c r="N27" s="17">
        <f t="shared" si="1"/>
        <v>0</v>
      </c>
      <c r="O27" s="17">
        <f t="shared" si="1"/>
        <v>0</v>
      </c>
      <c r="P27" s="17">
        <f t="shared" si="1"/>
        <v>0</v>
      </c>
      <c r="Q27" s="17">
        <f t="shared" si="1"/>
        <v>0</v>
      </c>
      <c r="R27" s="18" cm="1">
        <f t="array" ref="R27">SUMPRODUCT(ABS(F27:Q27-F26:Q26))</f>
        <v>0.66666666666666663</v>
      </c>
      <c r="S27" s="18" cm="1">
        <f t="array" ref="S27">SUMPRODUCT(ABS(G27:Q27-G26:Q26))</f>
        <v>0.33333333333333331</v>
      </c>
    </row>
    <row r="28" spans="1:19" x14ac:dyDescent="0.3">
      <c r="A28" s="2" t="s">
        <v>70</v>
      </c>
      <c r="B28" s="2">
        <v>14</v>
      </c>
      <c r="C28" s="2" t="s">
        <v>52</v>
      </c>
      <c r="D28" s="2" t="s">
        <v>71</v>
      </c>
      <c r="F28" s="17">
        <f t="shared" si="1"/>
        <v>0.33333333333333331</v>
      </c>
      <c r="G28" s="17">
        <f t="shared" si="1"/>
        <v>0.33333333333333331</v>
      </c>
      <c r="H28" s="17">
        <f t="shared" si="1"/>
        <v>0</v>
      </c>
      <c r="I28" s="17">
        <f t="shared" si="1"/>
        <v>0</v>
      </c>
      <c r="J28" s="17">
        <f t="shared" si="1"/>
        <v>0</v>
      </c>
      <c r="K28" s="17">
        <f t="shared" si="1"/>
        <v>0.33333333333333331</v>
      </c>
      <c r="L28" s="17">
        <f t="shared" si="1"/>
        <v>0</v>
      </c>
      <c r="M28" s="17">
        <f t="shared" si="1"/>
        <v>0</v>
      </c>
      <c r="N28" s="17">
        <f t="shared" si="1"/>
        <v>0</v>
      </c>
      <c r="O28" s="17">
        <f t="shared" si="1"/>
        <v>0</v>
      </c>
      <c r="P28" s="17">
        <f t="shared" si="1"/>
        <v>0</v>
      </c>
      <c r="Q28" s="17">
        <f t="shared" si="1"/>
        <v>0</v>
      </c>
      <c r="R28" s="18" cm="1">
        <f t="array" ref="R28">SUMPRODUCT(ABS(F28:Q28-F27:Q27))</f>
        <v>0.66666666666666663</v>
      </c>
      <c r="S28" s="18" cm="1">
        <f t="array" ref="S28">SUMPRODUCT(ABS(G28:Q28-G27:Q27))</f>
        <v>0.33333333333333331</v>
      </c>
    </row>
    <row r="29" spans="1:19" x14ac:dyDescent="0.3">
      <c r="A29" s="2" t="s">
        <v>72</v>
      </c>
      <c r="B29" s="2">
        <v>25</v>
      </c>
      <c r="C29" s="2" t="s">
        <v>55</v>
      </c>
      <c r="D29" s="2" t="s">
        <v>56</v>
      </c>
      <c r="F29" s="17">
        <f t="shared" si="1"/>
        <v>0</v>
      </c>
      <c r="G29" s="17">
        <f t="shared" si="1"/>
        <v>0.33333333333333331</v>
      </c>
      <c r="H29" s="17">
        <f t="shared" si="1"/>
        <v>0</v>
      </c>
      <c r="I29" s="17">
        <f t="shared" si="1"/>
        <v>0</v>
      </c>
      <c r="J29" s="17">
        <f t="shared" si="1"/>
        <v>0.33333333333333331</v>
      </c>
      <c r="K29" s="17">
        <f t="shared" si="1"/>
        <v>0.33333333333333331</v>
      </c>
      <c r="L29" s="17">
        <f t="shared" si="1"/>
        <v>0</v>
      </c>
      <c r="M29" s="17">
        <f t="shared" si="1"/>
        <v>0</v>
      </c>
      <c r="N29" s="17">
        <f t="shared" si="1"/>
        <v>0</v>
      </c>
      <c r="O29" s="17">
        <f t="shared" si="1"/>
        <v>0</v>
      </c>
      <c r="P29" s="17">
        <f t="shared" si="1"/>
        <v>0</v>
      </c>
      <c r="Q29" s="17">
        <f t="shared" si="1"/>
        <v>0</v>
      </c>
      <c r="R29" s="18" cm="1">
        <f t="array" ref="R29">SUMPRODUCT(ABS(F29:Q29-F28:Q28))</f>
        <v>0.66666666666666663</v>
      </c>
      <c r="S29" s="18" cm="1">
        <f t="array" ref="S29">SUMPRODUCT(ABS(G29:Q29-G28:Q28))</f>
        <v>0.33333333333333331</v>
      </c>
    </row>
    <row r="30" spans="1:19" x14ac:dyDescent="0.3">
      <c r="A30" s="2" t="s">
        <v>73</v>
      </c>
      <c r="B30" s="2">
        <v>23</v>
      </c>
      <c r="C30" s="2" t="s">
        <v>74</v>
      </c>
      <c r="D30" s="2" t="s">
        <v>75</v>
      </c>
      <c r="F30" s="17">
        <f t="shared" si="1"/>
        <v>0.66666666666666663</v>
      </c>
      <c r="G30" s="17">
        <f t="shared" si="1"/>
        <v>0.33333333333333331</v>
      </c>
      <c r="H30" s="17">
        <f t="shared" si="1"/>
        <v>0</v>
      </c>
      <c r="I30" s="17">
        <f t="shared" si="1"/>
        <v>0</v>
      </c>
      <c r="J30" s="17">
        <f t="shared" si="1"/>
        <v>0</v>
      </c>
      <c r="K30" s="17">
        <f t="shared" si="1"/>
        <v>0</v>
      </c>
      <c r="L30" s="17">
        <f t="shared" si="1"/>
        <v>0</v>
      </c>
      <c r="M30" s="17">
        <f t="shared" si="1"/>
        <v>0</v>
      </c>
      <c r="N30" s="17">
        <f t="shared" si="1"/>
        <v>0</v>
      </c>
      <c r="O30" s="17">
        <f t="shared" si="1"/>
        <v>0</v>
      </c>
      <c r="P30" s="17">
        <f t="shared" si="1"/>
        <v>0</v>
      </c>
      <c r="Q30" s="17">
        <f t="shared" si="1"/>
        <v>0</v>
      </c>
      <c r="R30" s="18" cm="1">
        <f t="array" ref="R30">SUMPRODUCT(ABS(F30:Q30-F29:Q29))</f>
        <v>1.3333333333333333</v>
      </c>
      <c r="S30" s="18" cm="1">
        <f t="array" ref="S30">SUMPRODUCT(ABS(G30:Q30-G29:Q29))</f>
        <v>0.66666666666666663</v>
      </c>
    </row>
    <row r="31" spans="1:19" x14ac:dyDescent="0.3">
      <c r="A31" s="2" t="s">
        <v>76</v>
      </c>
      <c r="B31" s="2">
        <v>1</v>
      </c>
      <c r="C31" s="2" t="s">
        <v>52</v>
      </c>
      <c r="D31" s="2" t="s">
        <v>50</v>
      </c>
      <c r="F31" s="17">
        <f t="shared" si="1"/>
        <v>0.33333333333333331</v>
      </c>
      <c r="G31" s="17">
        <f t="shared" si="1"/>
        <v>0.33333333333333331</v>
      </c>
      <c r="H31" s="17">
        <f t="shared" si="1"/>
        <v>0</v>
      </c>
      <c r="I31" s="17">
        <f t="shared" si="1"/>
        <v>0</v>
      </c>
      <c r="J31" s="17">
        <f t="shared" si="1"/>
        <v>0</v>
      </c>
      <c r="K31" s="17">
        <f t="shared" si="1"/>
        <v>0.33333333333333331</v>
      </c>
      <c r="L31" s="17">
        <f t="shared" si="1"/>
        <v>0</v>
      </c>
      <c r="M31" s="17">
        <f t="shared" si="1"/>
        <v>0</v>
      </c>
      <c r="N31" s="17">
        <f t="shared" si="1"/>
        <v>0</v>
      </c>
      <c r="O31" s="17">
        <f t="shared" si="1"/>
        <v>0</v>
      </c>
      <c r="P31" s="17">
        <f t="shared" si="1"/>
        <v>0</v>
      </c>
      <c r="Q31" s="17">
        <f t="shared" si="1"/>
        <v>0</v>
      </c>
      <c r="R31" s="18" cm="1">
        <f t="array" ref="R31">SUMPRODUCT(ABS(F31:Q31-F30:Q30))</f>
        <v>0.66666666666666663</v>
      </c>
      <c r="S31" s="18" cm="1">
        <f t="array" ref="S31">SUMPRODUCT(ABS(G31:Q31-G30:Q30))</f>
        <v>0.33333333333333331</v>
      </c>
    </row>
    <row r="32" spans="1:19" x14ac:dyDescent="0.3">
      <c r="A32" s="2" t="s">
        <v>77</v>
      </c>
      <c r="B32" s="2">
        <v>22</v>
      </c>
      <c r="C32" s="2" t="s">
        <v>78</v>
      </c>
      <c r="D32" s="2" t="s">
        <v>28</v>
      </c>
      <c r="F32" s="17">
        <f t="shared" si="1"/>
        <v>0</v>
      </c>
      <c r="G32" s="17">
        <f t="shared" si="1"/>
        <v>0.33333333333333331</v>
      </c>
      <c r="H32" s="17">
        <f t="shared" si="1"/>
        <v>0</v>
      </c>
      <c r="I32" s="17">
        <f t="shared" si="1"/>
        <v>0</v>
      </c>
      <c r="J32" s="17">
        <f t="shared" si="1"/>
        <v>0</v>
      </c>
      <c r="K32" s="17">
        <f t="shared" si="1"/>
        <v>0.33333333333333331</v>
      </c>
      <c r="L32" s="17">
        <f t="shared" si="1"/>
        <v>0.33333333333333331</v>
      </c>
      <c r="M32" s="17">
        <f t="shared" si="1"/>
        <v>0</v>
      </c>
      <c r="N32" s="17">
        <f t="shared" si="1"/>
        <v>0</v>
      </c>
      <c r="O32" s="17">
        <f t="shared" si="1"/>
        <v>0</v>
      </c>
      <c r="P32" s="17">
        <f t="shared" si="1"/>
        <v>0</v>
      </c>
      <c r="Q32" s="17">
        <f t="shared" si="1"/>
        <v>0</v>
      </c>
      <c r="R32" s="18" cm="1">
        <f t="array" ref="R32">SUMPRODUCT(ABS(F32:Q32-F31:Q31))</f>
        <v>0.66666666666666663</v>
      </c>
      <c r="S32" s="18" cm="1">
        <f t="array" ref="S32">SUMPRODUCT(ABS(G32:Q32-G31:Q31))</f>
        <v>0.33333333333333331</v>
      </c>
    </row>
    <row r="33" spans="1:19" x14ac:dyDescent="0.3">
      <c r="A33" s="2" t="s">
        <v>79</v>
      </c>
      <c r="B33" s="2">
        <v>10</v>
      </c>
      <c r="C33" s="2" t="s">
        <v>80</v>
      </c>
      <c r="D33" s="2" t="s">
        <v>59</v>
      </c>
      <c r="F33" s="17">
        <f t="shared" si="1"/>
        <v>0.33333333333333331</v>
      </c>
      <c r="G33" s="17">
        <f t="shared" si="1"/>
        <v>0</v>
      </c>
      <c r="H33" s="17">
        <f t="shared" si="1"/>
        <v>0</v>
      </c>
      <c r="I33" s="17">
        <f t="shared" si="1"/>
        <v>0</v>
      </c>
      <c r="J33" s="17">
        <f t="shared" si="1"/>
        <v>0</v>
      </c>
      <c r="K33" s="17">
        <f t="shared" si="1"/>
        <v>0.33333333333333331</v>
      </c>
      <c r="L33" s="17">
        <f t="shared" si="1"/>
        <v>0.33333333333333331</v>
      </c>
      <c r="M33" s="17">
        <f t="shared" si="1"/>
        <v>0</v>
      </c>
      <c r="N33" s="17">
        <f t="shared" si="1"/>
        <v>0</v>
      </c>
      <c r="O33" s="17">
        <f t="shared" si="1"/>
        <v>0</v>
      </c>
      <c r="P33" s="17">
        <f t="shared" si="1"/>
        <v>0</v>
      </c>
      <c r="Q33" s="17">
        <f t="shared" si="1"/>
        <v>0</v>
      </c>
      <c r="R33" s="18" cm="1">
        <f t="array" ref="R33">SUMPRODUCT(ABS(F33:Q33-F32:Q32))</f>
        <v>0.66666666666666663</v>
      </c>
      <c r="S33" s="18" cm="1">
        <f t="array" ref="S33">SUMPRODUCT(ABS(G33:Q33-G32:Q32))</f>
        <v>0.33333333333333331</v>
      </c>
    </row>
    <row r="34" spans="1:19" x14ac:dyDescent="0.3">
      <c r="A34" s="2" t="s">
        <v>81</v>
      </c>
      <c r="B34" s="2">
        <v>43</v>
      </c>
      <c r="C34" s="2" t="s">
        <v>82</v>
      </c>
      <c r="D34" s="2" t="s">
        <v>56</v>
      </c>
      <c r="F34" s="17">
        <f t="shared" si="1"/>
        <v>0</v>
      </c>
      <c r="G34" s="17">
        <f t="shared" si="1"/>
        <v>0</v>
      </c>
      <c r="H34" s="17">
        <f t="shared" si="1"/>
        <v>0</v>
      </c>
      <c r="I34" s="17">
        <f t="shared" si="1"/>
        <v>0</v>
      </c>
      <c r="J34" s="17">
        <f t="shared" si="1"/>
        <v>0.33333333333333331</v>
      </c>
      <c r="K34" s="17">
        <f t="shared" si="1"/>
        <v>0.33333333333333331</v>
      </c>
      <c r="L34" s="17">
        <f t="shared" si="1"/>
        <v>0.33333333333333331</v>
      </c>
      <c r="M34" s="17">
        <f t="shared" si="1"/>
        <v>0</v>
      </c>
      <c r="N34" s="17">
        <f t="shared" si="1"/>
        <v>0</v>
      </c>
      <c r="O34" s="17">
        <f t="shared" si="1"/>
        <v>0</v>
      </c>
      <c r="P34" s="17">
        <f t="shared" si="1"/>
        <v>0</v>
      </c>
      <c r="Q34" s="17">
        <f t="shared" si="1"/>
        <v>0</v>
      </c>
      <c r="R34" s="18" cm="1">
        <f t="array" ref="R34">SUMPRODUCT(ABS(F34:Q34-F33:Q33))</f>
        <v>0.66666666666666663</v>
      </c>
      <c r="S34" s="18" cm="1">
        <f t="array" ref="S34">SUMPRODUCT(ABS(G34:Q34-G33:Q33))</f>
        <v>0.33333333333333331</v>
      </c>
    </row>
    <row r="35" spans="1:19" x14ac:dyDescent="0.3">
      <c r="A35" s="2" t="s">
        <v>83</v>
      </c>
      <c r="B35" s="2">
        <v>5</v>
      </c>
      <c r="C35" s="2" t="s">
        <v>84</v>
      </c>
      <c r="D35" s="2" t="s">
        <v>85</v>
      </c>
      <c r="F35" s="17">
        <f t="shared" si="1"/>
        <v>0.33333333333333331</v>
      </c>
      <c r="G35" s="17">
        <f t="shared" si="1"/>
        <v>0</v>
      </c>
      <c r="H35" s="17">
        <f t="shared" si="1"/>
        <v>0</v>
      </c>
      <c r="I35" s="17">
        <f t="shared" si="1"/>
        <v>0</v>
      </c>
      <c r="J35" s="17">
        <f t="shared" si="1"/>
        <v>0.33333333333333331</v>
      </c>
      <c r="K35" s="17">
        <f t="shared" si="1"/>
        <v>0</v>
      </c>
      <c r="L35" s="17">
        <f t="shared" si="1"/>
        <v>0.33333333333333331</v>
      </c>
      <c r="M35" s="17">
        <f t="shared" si="1"/>
        <v>0</v>
      </c>
      <c r="N35" s="17">
        <f t="shared" si="1"/>
        <v>0</v>
      </c>
      <c r="O35" s="17">
        <f t="shared" si="1"/>
        <v>0</v>
      </c>
      <c r="P35" s="17">
        <f t="shared" si="1"/>
        <v>0</v>
      </c>
      <c r="Q35" s="17">
        <f t="shared" si="1"/>
        <v>0</v>
      </c>
      <c r="R35" s="18" cm="1">
        <f t="array" ref="R35">SUMPRODUCT(ABS(F35:Q35-F34:Q34))</f>
        <v>0.66666666666666663</v>
      </c>
      <c r="S35" s="18" cm="1">
        <f t="array" ref="S35">SUMPRODUCT(ABS(G35:Q35-G34:Q34))</f>
        <v>0.33333333333333331</v>
      </c>
    </row>
    <row r="36" spans="1:19" x14ac:dyDescent="0.3">
      <c r="A36" s="2" t="s">
        <v>86</v>
      </c>
      <c r="B36" s="2">
        <v>17</v>
      </c>
      <c r="C36" s="2" t="s">
        <v>43</v>
      </c>
      <c r="D36" s="2" t="s">
        <v>69</v>
      </c>
      <c r="F36" s="17">
        <f t="shared" si="1"/>
        <v>0.66666666666666663</v>
      </c>
      <c r="G36" s="17">
        <f t="shared" si="1"/>
        <v>0</v>
      </c>
      <c r="H36" s="17">
        <f t="shared" si="1"/>
        <v>0</v>
      </c>
      <c r="I36" s="17">
        <f t="shared" si="1"/>
        <v>0</v>
      </c>
      <c r="J36" s="17">
        <f t="shared" si="1"/>
        <v>0</v>
      </c>
      <c r="K36" s="17">
        <f t="shared" si="1"/>
        <v>0</v>
      </c>
      <c r="L36" s="17">
        <f t="shared" si="1"/>
        <v>0.33333333333333331</v>
      </c>
      <c r="M36" s="17">
        <f t="shared" si="1"/>
        <v>0</v>
      </c>
      <c r="N36" s="17">
        <f t="shared" si="1"/>
        <v>0</v>
      </c>
      <c r="O36" s="17">
        <f t="shared" si="1"/>
        <v>0</v>
      </c>
      <c r="P36" s="17">
        <f t="shared" si="1"/>
        <v>0</v>
      </c>
      <c r="Q36" s="17">
        <f t="shared" si="1"/>
        <v>0</v>
      </c>
      <c r="R36" s="18" cm="1">
        <f t="array" ref="R36">SUMPRODUCT(ABS(F36:Q36-F35:Q35))</f>
        <v>0.66666666666666663</v>
      </c>
      <c r="S36" s="18" cm="1">
        <f t="array" ref="S36">SUMPRODUCT(ABS(G36:Q36-G35:Q35))</f>
        <v>0.33333333333333331</v>
      </c>
    </row>
    <row r="37" spans="1:19" x14ac:dyDescent="0.3">
      <c r="A37" s="2" t="s">
        <v>87</v>
      </c>
      <c r="B37" s="2">
        <v>4</v>
      </c>
      <c r="C37" s="2" t="s">
        <v>80</v>
      </c>
      <c r="D37" s="2" t="s">
        <v>50</v>
      </c>
      <c r="F37" s="17">
        <f t="shared" si="1"/>
        <v>0.33333333333333331</v>
      </c>
      <c r="G37" s="17">
        <f t="shared" si="1"/>
        <v>0</v>
      </c>
      <c r="H37" s="17">
        <f t="shared" si="1"/>
        <v>0</v>
      </c>
      <c r="I37" s="17">
        <f t="shared" si="1"/>
        <v>0</v>
      </c>
      <c r="J37" s="17">
        <f t="shared" si="1"/>
        <v>0</v>
      </c>
      <c r="K37" s="17">
        <f t="shared" si="1"/>
        <v>0.33333333333333331</v>
      </c>
      <c r="L37" s="17">
        <f t="shared" si="1"/>
        <v>0.33333333333333331</v>
      </c>
      <c r="M37" s="17">
        <f t="shared" si="1"/>
        <v>0</v>
      </c>
      <c r="N37" s="17">
        <f t="shared" si="1"/>
        <v>0</v>
      </c>
      <c r="O37" s="17">
        <f t="shared" si="1"/>
        <v>0</v>
      </c>
      <c r="P37" s="17">
        <f t="shared" si="1"/>
        <v>0</v>
      </c>
      <c r="Q37" s="17">
        <f t="shared" si="1"/>
        <v>0</v>
      </c>
      <c r="R37" s="18" cm="1">
        <f t="array" ref="R37">SUMPRODUCT(ABS(F37:Q37-F36:Q36))</f>
        <v>0.66666666666666663</v>
      </c>
      <c r="S37" s="18" cm="1">
        <f t="array" ref="S37">SUMPRODUCT(ABS(G37:Q37-G36:Q36))</f>
        <v>0.33333333333333331</v>
      </c>
    </row>
    <row r="38" spans="1:19" x14ac:dyDescent="0.3">
      <c r="A38" s="2" t="s">
        <v>88</v>
      </c>
      <c r="B38" s="2">
        <v>32</v>
      </c>
      <c r="C38" s="2" t="s">
        <v>82</v>
      </c>
      <c r="D38" s="2" t="s">
        <v>56</v>
      </c>
      <c r="F38" s="17">
        <f t="shared" ref="F38:Q101" si="2">_xlfn.LET(_xlpm.t," "&amp;$C38&amp;" ",_xlpm.p,SEARCH(" "&amp;F$1&amp;" ",_xlpm.t),IFERROR(ROUND(VALUE(MID(_xlpm.t,_xlpm.p+LEN(F$1)+2,FIND("%",_xlpm.t,_xlpm.p)-_xlpm.p-LEN(F$1)-2))*3/100,0)/3,0))</f>
        <v>0</v>
      </c>
      <c r="G38" s="17">
        <f t="shared" si="2"/>
        <v>0</v>
      </c>
      <c r="H38" s="17">
        <f t="shared" si="2"/>
        <v>0</v>
      </c>
      <c r="I38" s="17">
        <f t="shared" si="2"/>
        <v>0</v>
      </c>
      <c r="J38" s="17">
        <f t="shared" si="2"/>
        <v>0.33333333333333331</v>
      </c>
      <c r="K38" s="17">
        <f t="shared" si="2"/>
        <v>0.33333333333333331</v>
      </c>
      <c r="L38" s="17">
        <f t="shared" si="2"/>
        <v>0.33333333333333331</v>
      </c>
      <c r="M38" s="17">
        <f t="shared" si="2"/>
        <v>0</v>
      </c>
      <c r="N38" s="17">
        <f t="shared" si="2"/>
        <v>0</v>
      </c>
      <c r="O38" s="17">
        <f t="shared" si="2"/>
        <v>0</v>
      </c>
      <c r="P38" s="17">
        <f t="shared" si="2"/>
        <v>0</v>
      </c>
      <c r="Q38" s="17">
        <f t="shared" si="2"/>
        <v>0</v>
      </c>
      <c r="R38" s="18" cm="1">
        <f t="array" ref="R38">SUMPRODUCT(ABS(F38:Q38-F37:Q37))</f>
        <v>0.66666666666666663</v>
      </c>
      <c r="S38" s="18" cm="1">
        <f t="array" ref="S38">SUMPRODUCT(ABS(G38:Q38-G37:Q37))</f>
        <v>0.33333333333333331</v>
      </c>
    </row>
    <row r="39" spans="1:19" x14ac:dyDescent="0.3">
      <c r="A39" s="2" t="s">
        <v>89</v>
      </c>
      <c r="B39" s="2">
        <v>8</v>
      </c>
      <c r="C39" s="2" t="s">
        <v>84</v>
      </c>
      <c r="D39" s="2" t="s">
        <v>85</v>
      </c>
      <c r="F39" s="17">
        <f t="shared" si="2"/>
        <v>0.33333333333333331</v>
      </c>
      <c r="G39" s="17">
        <f t="shared" si="2"/>
        <v>0</v>
      </c>
      <c r="H39" s="17">
        <f t="shared" si="2"/>
        <v>0</v>
      </c>
      <c r="I39" s="17">
        <f t="shared" si="2"/>
        <v>0</v>
      </c>
      <c r="J39" s="17">
        <f t="shared" si="2"/>
        <v>0.33333333333333331</v>
      </c>
      <c r="K39" s="17">
        <f t="shared" si="2"/>
        <v>0</v>
      </c>
      <c r="L39" s="17">
        <f t="shared" si="2"/>
        <v>0.33333333333333331</v>
      </c>
      <c r="M39" s="17">
        <f t="shared" si="2"/>
        <v>0</v>
      </c>
      <c r="N39" s="17">
        <f t="shared" si="2"/>
        <v>0</v>
      </c>
      <c r="O39" s="17">
        <f t="shared" si="2"/>
        <v>0</v>
      </c>
      <c r="P39" s="17">
        <f t="shared" si="2"/>
        <v>0</v>
      </c>
      <c r="Q39" s="17">
        <f t="shared" si="2"/>
        <v>0</v>
      </c>
      <c r="R39" s="18" cm="1">
        <f t="array" ref="R39">SUMPRODUCT(ABS(F39:Q39-F38:Q38))</f>
        <v>0.66666666666666663</v>
      </c>
      <c r="S39" s="18" cm="1">
        <f t="array" ref="S39">SUMPRODUCT(ABS(G39:Q39-G38:Q38))</f>
        <v>0.33333333333333331</v>
      </c>
    </row>
    <row r="40" spans="1:19" x14ac:dyDescent="0.3">
      <c r="A40" s="2" t="s">
        <v>90</v>
      </c>
      <c r="B40" s="2">
        <v>14</v>
      </c>
      <c r="C40" s="2" t="s">
        <v>91</v>
      </c>
      <c r="D40" s="2" t="s">
        <v>92</v>
      </c>
      <c r="F40" s="17">
        <f t="shared" si="2"/>
        <v>0</v>
      </c>
      <c r="G40" s="17">
        <f t="shared" si="2"/>
        <v>0</v>
      </c>
      <c r="H40" s="17">
        <f t="shared" si="2"/>
        <v>0</v>
      </c>
      <c r="I40" s="17">
        <f t="shared" si="2"/>
        <v>0</v>
      </c>
      <c r="J40" s="17">
        <f t="shared" si="2"/>
        <v>0.33333333333333331</v>
      </c>
      <c r="K40" s="17">
        <f t="shared" si="2"/>
        <v>0</v>
      </c>
      <c r="L40" s="17">
        <f t="shared" si="2"/>
        <v>0.33333333333333331</v>
      </c>
      <c r="M40" s="17">
        <f t="shared" si="2"/>
        <v>0</v>
      </c>
      <c r="N40" s="17">
        <f t="shared" si="2"/>
        <v>0</v>
      </c>
      <c r="O40" s="17">
        <f t="shared" si="2"/>
        <v>0.33333333333333331</v>
      </c>
      <c r="P40" s="17">
        <f t="shared" si="2"/>
        <v>0</v>
      </c>
      <c r="Q40" s="17">
        <f t="shared" si="2"/>
        <v>0</v>
      </c>
      <c r="R40" s="18" cm="1">
        <f t="array" ref="R40">SUMPRODUCT(ABS(F40:Q40-F39:Q39))</f>
        <v>0.66666666666666663</v>
      </c>
      <c r="S40" s="18" cm="1">
        <f t="array" ref="S40">SUMPRODUCT(ABS(G40:Q40-G39:Q39))</f>
        <v>0.33333333333333331</v>
      </c>
    </row>
    <row r="41" spans="1:19" x14ac:dyDescent="0.3">
      <c r="A41" s="2" t="s">
        <v>93</v>
      </c>
      <c r="B41" s="2">
        <v>6</v>
      </c>
      <c r="C41" s="2" t="s">
        <v>94</v>
      </c>
      <c r="D41" s="2" t="s">
        <v>95</v>
      </c>
      <c r="F41" s="17">
        <f t="shared" si="2"/>
        <v>0.33333333333333331</v>
      </c>
      <c r="G41" s="17">
        <f t="shared" si="2"/>
        <v>0</v>
      </c>
      <c r="H41" s="17">
        <f t="shared" si="2"/>
        <v>0</v>
      </c>
      <c r="I41" s="17">
        <f t="shared" si="2"/>
        <v>0</v>
      </c>
      <c r="J41" s="17">
        <f t="shared" si="2"/>
        <v>0.33333333333333331</v>
      </c>
      <c r="K41" s="17">
        <f t="shared" si="2"/>
        <v>0</v>
      </c>
      <c r="L41" s="17">
        <f t="shared" si="2"/>
        <v>0</v>
      </c>
      <c r="M41" s="17">
        <f t="shared" si="2"/>
        <v>0</v>
      </c>
      <c r="N41" s="17">
        <f t="shared" si="2"/>
        <v>0</v>
      </c>
      <c r="O41" s="17">
        <f t="shared" si="2"/>
        <v>0.33333333333333331</v>
      </c>
      <c r="P41" s="17">
        <f t="shared" si="2"/>
        <v>0</v>
      </c>
      <c r="Q41" s="17">
        <f t="shared" si="2"/>
        <v>0</v>
      </c>
      <c r="R41" s="18" cm="1">
        <f t="array" ref="R41">SUMPRODUCT(ABS(F41:Q41-F40:Q40))</f>
        <v>0.66666666666666663</v>
      </c>
      <c r="S41" s="18" cm="1">
        <f t="array" ref="S41">SUMPRODUCT(ABS(G41:Q41-G40:Q40))</f>
        <v>0.33333333333333331</v>
      </c>
    </row>
    <row r="42" spans="1:19" x14ac:dyDescent="0.3">
      <c r="A42" s="2" t="s">
        <v>96</v>
      </c>
      <c r="B42" s="2">
        <v>4</v>
      </c>
      <c r="C42" s="2" t="s">
        <v>97</v>
      </c>
      <c r="D42" s="2" t="s">
        <v>44</v>
      </c>
      <c r="F42" s="17">
        <f t="shared" si="2"/>
        <v>0.66666666666666663</v>
      </c>
      <c r="G42" s="17">
        <f t="shared" si="2"/>
        <v>0</v>
      </c>
      <c r="H42" s="17">
        <f t="shared" si="2"/>
        <v>0</v>
      </c>
      <c r="I42" s="17">
        <f t="shared" si="2"/>
        <v>0</v>
      </c>
      <c r="J42" s="17">
        <f t="shared" si="2"/>
        <v>0.33333333333333331</v>
      </c>
      <c r="K42" s="17">
        <f t="shared" si="2"/>
        <v>0</v>
      </c>
      <c r="L42" s="17">
        <f t="shared" si="2"/>
        <v>0</v>
      </c>
      <c r="M42" s="17">
        <f t="shared" si="2"/>
        <v>0</v>
      </c>
      <c r="N42" s="17">
        <f t="shared" si="2"/>
        <v>0</v>
      </c>
      <c r="O42" s="17">
        <f t="shared" si="2"/>
        <v>0</v>
      </c>
      <c r="P42" s="17">
        <f t="shared" si="2"/>
        <v>0</v>
      </c>
      <c r="Q42" s="17">
        <f t="shared" si="2"/>
        <v>0</v>
      </c>
      <c r="R42" s="18" cm="1">
        <f t="array" ref="R42">SUMPRODUCT(ABS(F42:Q42-F41:Q41))</f>
        <v>0.66666666666666663</v>
      </c>
      <c r="S42" s="18" cm="1">
        <f t="array" ref="S42">SUMPRODUCT(ABS(G42:Q42-G41:Q41))</f>
        <v>0.33333333333333331</v>
      </c>
    </row>
    <row r="43" spans="1:19" x14ac:dyDescent="0.3">
      <c r="A43" s="2" t="s">
        <v>98</v>
      </c>
      <c r="B43" s="2">
        <v>4</v>
      </c>
      <c r="C43" s="2" t="s">
        <v>84</v>
      </c>
      <c r="D43" s="2" t="s">
        <v>41</v>
      </c>
      <c r="F43" s="17">
        <f t="shared" si="2"/>
        <v>0.33333333333333331</v>
      </c>
      <c r="G43" s="17">
        <f t="shared" si="2"/>
        <v>0</v>
      </c>
      <c r="H43" s="17">
        <f t="shared" si="2"/>
        <v>0</v>
      </c>
      <c r="I43" s="17">
        <f t="shared" si="2"/>
        <v>0</v>
      </c>
      <c r="J43" s="17">
        <f t="shared" si="2"/>
        <v>0.33333333333333331</v>
      </c>
      <c r="K43" s="17">
        <f t="shared" si="2"/>
        <v>0</v>
      </c>
      <c r="L43" s="17">
        <f t="shared" si="2"/>
        <v>0.33333333333333331</v>
      </c>
      <c r="M43" s="17">
        <f t="shared" si="2"/>
        <v>0</v>
      </c>
      <c r="N43" s="17">
        <f t="shared" si="2"/>
        <v>0</v>
      </c>
      <c r="O43" s="17">
        <f t="shared" si="2"/>
        <v>0</v>
      </c>
      <c r="P43" s="17">
        <f t="shared" si="2"/>
        <v>0</v>
      </c>
      <c r="Q43" s="17">
        <f t="shared" si="2"/>
        <v>0</v>
      </c>
      <c r="R43" s="18" cm="1">
        <f t="array" ref="R43">SUMPRODUCT(ABS(F43:Q43-F42:Q42))</f>
        <v>0.66666666666666663</v>
      </c>
      <c r="S43" s="18" cm="1">
        <f t="array" ref="S43">SUMPRODUCT(ABS(G43:Q43-G42:Q42))</f>
        <v>0.33333333333333331</v>
      </c>
    </row>
    <row r="44" spans="1:19" x14ac:dyDescent="0.3">
      <c r="A44" s="2" t="s">
        <v>99</v>
      </c>
      <c r="B44" s="2">
        <v>5</v>
      </c>
      <c r="C44" s="2" t="s">
        <v>43</v>
      </c>
      <c r="D44" s="2" t="s">
        <v>69</v>
      </c>
      <c r="F44" s="17">
        <f t="shared" si="2"/>
        <v>0.66666666666666663</v>
      </c>
      <c r="G44" s="17">
        <f t="shared" si="2"/>
        <v>0</v>
      </c>
      <c r="H44" s="17">
        <f t="shared" si="2"/>
        <v>0</v>
      </c>
      <c r="I44" s="17">
        <f t="shared" si="2"/>
        <v>0</v>
      </c>
      <c r="J44" s="17">
        <f t="shared" si="2"/>
        <v>0</v>
      </c>
      <c r="K44" s="17">
        <f t="shared" si="2"/>
        <v>0</v>
      </c>
      <c r="L44" s="17">
        <f t="shared" si="2"/>
        <v>0.33333333333333331</v>
      </c>
      <c r="M44" s="17">
        <f t="shared" si="2"/>
        <v>0</v>
      </c>
      <c r="N44" s="17">
        <f t="shared" si="2"/>
        <v>0</v>
      </c>
      <c r="O44" s="17">
        <f t="shared" si="2"/>
        <v>0</v>
      </c>
      <c r="P44" s="17">
        <f t="shared" si="2"/>
        <v>0</v>
      </c>
      <c r="Q44" s="17">
        <f t="shared" si="2"/>
        <v>0</v>
      </c>
      <c r="R44" s="18" cm="1">
        <f t="array" ref="R44">SUMPRODUCT(ABS(F44:Q44-F43:Q43))</f>
        <v>0.66666666666666663</v>
      </c>
      <c r="S44" s="18" cm="1">
        <f t="array" ref="S44">SUMPRODUCT(ABS(G44:Q44-G43:Q43))</f>
        <v>0.33333333333333331</v>
      </c>
    </row>
    <row r="45" spans="1:19" x14ac:dyDescent="0.3">
      <c r="A45" s="2" t="s">
        <v>100</v>
      </c>
      <c r="B45" s="2">
        <v>1</v>
      </c>
      <c r="C45" s="2" t="s">
        <v>101</v>
      </c>
      <c r="D45" s="2" t="s">
        <v>71</v>
      </c>
      <c r="F45" s="17">
        <f t="shared" si="2"/>
        <v>0.33333333333333331</v>
      </c>
      <c r="G45" s="17">
        <f t="shared" si="2"/>
        <v>0.33333333333333331</v>
      </c>
      <c r="H45" s="17">
        <f t="shared" si="2"/>
        <v>0</v>
      </c>
      <c r="I45" s="17">
        <f t="shared" si="2"/>
        <v>0</v>
      </c>
      <c r="J45" s="17">
        <f t="shared" si="2"/>
        <v>0</v>
      </c>
      <c r="K45" s="17">
        <f t="shared" si="2"/>
        <v>0</v>
      </c>
      <c r="L45" s="17">
        <f t="shared" si="2"/>
        <v>0.33333333333333331</v>
      </c>
      <c r="M45" s="17">
        <f t="shared" si="2"/>
        <v>0</v>
      </c>
      <c r="N45" s="17">
        <f t="shared" si="2"/>
        <v>0</v>
      </c>
      <c r="O45" s="17">
        <f t="shared" si="2"/>
        <v>0</v>
      </c>
      <c r="P45" s="17">
        <f t="shared" si="2"/>
        <v>0</v>
      </c>
      <c r="Q45" s="17">
        <f t="shared" si="2"/>
        <v>0</v>
      </c>
      <c r="R45" s="18" cm="1">
        <f t="array" ref="R45">SUMPRODUCT(ABS(F45:Q45-F44:Q44))</f>
        <v>0.66666666666666663</v>
      </c>
      <c r="S45" s="18" cm="1">
        <f t="array" ref="S45">SUMPRODUCT(ABS(G45:Q45-G44:Q44))</f>
        <v>0.33333333333333331</v>
      </c>
    </row>
    <row r="46" spans="1:19" x14ac:dyDescent="0.3">
      <c r="A46" s="2" t="s">
        <v>102</v>
      </c>
      <c r="B46" s="2">
        <v>10</v>
      </c>
      <c r="C46" s="2" t="s">
        <v>78</v>
      </c>
      <c r="D46" s="2" t="s">
        <v>103</v>
      </c>
      <c r="F46" s="17">
        <f t="shared" si="2"/>
        <v>0</v>
      </c>
      <c r="G46" s="17">
        <f t="shared" si="2"/>
        <v>0.33333333333333331</v>
      </c>
      <c r="H46" s="17">
        <f t="shared" si="2"/>
        <v>0</v>
      </c>
      <c r="I46" s="17">
        <f t="shared" si="2"/>
        <v>0</v>
      </c>
      <c r="J46" s="17">
        <f t="shared" si="2"/>
        <v>0</v>
      </c>
      <c r="K46" s="17">
        <f t="shared" si="2"/>
        <v>0.33333333333333331</v>
      </c>
      <c r="L46" s="17">
        <f t="shared" si="2"/>
        <v>0.33333333333333331</v>
      </c>
      <c r="M46" s="17">
        <f t="shared" si="2"/>
        <v>0</v>
      </c>
      <c r="N46" s="17">
        <f t="shared" si="2"/>
        <v>0</v>
      </c>
      <c r="O46" s="17">
        <f t="shared" si="2"/>
        <v>0</v>
      </c>
      <c r="P46" s="17">
        <f t="shared" si="2"/>
        <v>0</v>
      </c>
      <c r="Q46" s="17">
        <f t="shared" si="2"/>
        <v>0</v>
      </c>
      <c r="R46" s="18" cm="1">
        <f t="array" ref="R46">SUMPRODUCT(ABS(F46:Q46-F45:Q45))</f>
        <v>0.66666666666666663</v>
      </c>
      <c r="S46" s="18" cm="1">
        <f t="array" ref="S46">SUMPRODUCT(ABS(G46:Q46-G45:Q45))</f>
        <v>0.33333333333333331</v>
      </c>
    </row>
    <row r="47" spans="1:19" x14ac:dyDescent="0.3">
      <c r="A47" s="2" t="s">
        <v>104</v>
      </c>
      <c r="B47" s="2">
        <v>2</v>
      </c>
      <c r="C47" s="2" t="s">
        <v>80</v>
      </c>
      <c r="D47" s="2" t="s">
        <v>59</v>
      </c>
      <c r="F47" s="17">
        <f t="shared" si="2"/>
        <v>0.33333333333333331</v>
      </c>
      <c r="G47" s="17">
        <f t="shared" si="2"/>
        <v>0</v>
      </c>
      <c r="H47" s="17">
        <f t="shared" si="2"/>
        <v>0</v>
      </c>
      <c r="I47" s="17">
        <f t="shared" si="2"/>
        <v>0</v>
      </c>
      <c r="J47" s="17">
        <f t="shared" si="2"/>
        <v>0</v>
      </c>
      <c r="K47" s="17">
        <f t="shared" si="2"/>
        <v>0.33333333333333331</v>
      </c>
      <c r="L47" s="17">
        <f t="shared" si="2"/>
        <v>0.33333333333333331</v>
      </c>
      <c r="M47" s="17">
        <f t="shared" si="2"/>
        <v>0</v>
      </c>
      <c r="N47" s="17">
        <f t="shared" si="2"/>
        <v>0</v>
      </c>
      <c r="O47" s="17">
        <f t="shared" si="2"/>
        <v>0</v>
      </c>
      <c r="P47" s="17">
        <f t="shared" si="2"/>
        <v>0</v>
      </c>
      <c r="Q47" s="17">
        <f t="shared" si="2"/>
        <v>0</v>
      </c>
      <c r="R47" s="18" cm="1">
        <f t="array" ref="R47">SUMPRODUCT(ABS(F47:Q47-F46:Q46))</f>
        <v>0.66666666666666663</v>
      </c>
      <c r="S47" s="18" cm="1">
        <f t="array" ref="S47">SUMPRODUCT(ABS(G47:Q47-G46:Q46))</f>
        <v>0.33333333333333331</v>
      </c>
    </row>
    <row r="48" spans="1:19" x14ac:dyDescent="0.3">
      <c r="A48" s="2" t="s">
        <v>105</v>
      </c>
      <c r="B48" s="2">
        <v>10</v>
      </c>
      <c r="C48" s="2" t="s">
        <v>82</v>
      </c>
      <c r="D48" s="2" t="s">
        <v>56</v>
      </c>
      <c r="F48" s="17">
        <f t="shared" si="2"/>
        <v>0</v>
      </c>
      <c r="G48" s="17">
        <f t="shared" si="2"/>
        <v>0</v>
      </c>
      <c r="H48" s="17">
        <f t="shared" si="2"/>
        <v>0</v>
      </c>
      <c r="I48" s="17">
        <f t="shared" si="2"/>
        <v>0</v>
      </c>
      <c r="J48" s="17">
        <f t="shared" si="2"/>
        <v>0.33333333333333331</v>
      </c>
      <c r="K48" s="17">
        <f t="shared" si="2"/>
        <v>0.33333333333333331</v>
      </c>
      <c r="L48" s="17">
        <f t="shared" si="2"/>
        <v>0.33333333333333331</v>
      </c>
      <c r="M48" s="17">
        <f t="shared" si="2"/>
        <v>0</v>
      </c>
      <c r="N48" s="17">
        <f t="shared" si="2"/>
        <v>0</v>
      </c>
      <c r="O48" s="17">
        <f t="shared" si="2"/>
        <v>0</v>
      </c>
      <c r="P48" s="17">
        <f t="shared" si="2"/>
        <v>0</v>
      </c>
      <c r="Q48" s="17">
        <f t="shared" si="2"/>
        <v>0</v>
      </c>
      <c r="R48" s="18" cm="1">
        <f t="array" ref="R48">SUMPRODUCT(ABS(F48:Q48-F47:Q47))</f>
        <v>0.66666666666666663</v>
      </c>
      <c r="S48" s="18" cm="1">
        <f t="array" ref="S48">SUMPRODUCT(ABS(G48:Q48-G47:Q47))</f>
        <v>0.33333333333333331</v>
      </c>
    </row>
    <row r="49" spans="1:19" x14ac:dyDescent="0.3">
      <c r="A49" s="2" t="s">
        <v>106</v>
      </c>
      <c r="B49" s="2">
        <v>23</v>
      </c>
      <c r="C49" s="2" t="s">
        <v>5</v>
      </c>
      <c r="D49" s="2" t="s">
        <v>107</v>
      </c>
      <c r="F49" s="17">
        <f t="shared" si="2"/>
        <v>1</v>
      </c>
      <c r="G49" s="17">
        <f t="shared" si="2"/>
        <v>0</v>
      </c>
      <c r="H49" s="17">
        <f t="shared" si="2"/>
        <v>0</v>
      </c>
      <c r="I49" s="17">
        <f t="shared" si="2"/>
        <v>0</v>
      </c>
      <c r="J49" s="17">
        <f t="shared" si="2"/>
        <v>0</v>
      </c>
      <c r="K49" s="17">
        <f t="shared" si="2"/>
        <v>0</v>
      </c>
      <c r="L49" s="17">
        <f t="shared" si="2"/>
        <v>0</v>
      </c>
      <c r="M49" s="17">
        <f t="shared" si="2"/>
        <v>0</v>
      </c>
      <c r="N49" s="17">
        <f t="shared" si="2"/>
        <v>0</v>
      </c>
      <c r="O49" s="17">
        <f t="shared" si="2"/>
        <v>0</v>
      </c>
      <c r="P49" s="17">
        <f t="shared" si="2"/>
        <v>0</v>
      </c>
      <c r="Q49" s="17">
        <f t="shared" si="2"/>
        <v>0</v>
      </c>
      <c r="R49" s="18" cm="1">
        <f t="array" ref="R49">SUMPRODUCT(ABS(F49:Q49-F48:Q48))</f>
        <v>1.9999999999999998</v>
      </c>
      <c r="S49" s="18" cm="1">
        <f t="array" ref="S49">SUMPRODUCT(ABS(G49:Q49-G48:Q48))</f>
        <v>1</v>
      </c>
    </row>
    <row r="50" spans="1:19" x14ac:dyDescent="0.3">
      <c r="A50" s="2" t="s">
        <v>108</v>
      </c>
      <c r="B50" s="2">
        <v>10</v>
      </c>
      <c r="C50" s="2" t="s">
        <v>43</v>
      </c>
      <c r="D50" s="2" t="s">
        <v>109</v>
      </c>
      <c r="F50" s="17">
        <f t="shared" si="2"/>
        <v>0.66666666666666663</v>
      </c>
      <c r="G50" s="17">
        <f t="shared" si="2"/>
        <v>0</v>
      </c>
      <c r="H50" s="17">
        <f t="shared" si="2"/>
        <v>0</v>
      </c>
      <c r="I50" s="17">
        <f t="shared" si="2"/>
        <v>0</v>
      </c>
      <c r="J50" s="17">
        <f t="shared" si="2"/>
        <v>0</v>
      </c>
      <c r="K50" s="17">
        <f t="shared" si="2"/>
        <v>0</v>
      </c>
      <c r="L50" s="17">
        <f t="shared" si="2"/>
        <v>0.33333333333333331</v>
      </c>
      <c r="M50" s="17">
        <f t="shared" si="2"/>
        <v>0</v>
      </c>
      <c r="N50" s="17">
        <f t="shared" si="2"/>
        <v>0</v>
      </c>
      <c r="O50" s="17">
        <f t="shared" si="2"/>
        <v>0</v>
      </c>
      <c r="P50" s="17">
        <f t="shared" si="2"/>
        <v>0</v>
      </c>
      <c r="Q50" s="17">
        <f t="shared" si="2"/>
        <v>0</v>
      </c>
      <c r="R50" s="18" cm="1">
        <f t="array" ref="R50">SUMPRODUCT(ABS(F50:Q50-F49:Q49))</f>
        <v>0.66666666666666674</v>
      </c>
      <c r="S50" s="18" cm="1">
        <f t="array" ref="S50">SUMPRODUCT(ABS(G50:Q50-G49:Q49))</f>
        <v>0.33333333333333331</v>
      </c>
    </row>
    <row r="51" spans="1:19" x14ac:dyDescent="0.3">
      <c r="A51" s="2" t="s">
        <v>110</v>
      </c>
      <c r="B51" s="2">
        <v>32</v>
      </c>
      <c r="C51" s="2" t="s">
        <v>5</v>
      </c>
      <c r="D51" s="2" t="s">
        <v>111</v>
      </c>
      <c r="F51" s="17">
        <f t="shared" si="2"/>
        <v>1</v>
      </c>
      <c r="G51" s="17">
        <f t="shared" si="2"/>
        <v>0</v>
      </c>
      <c r="H51" s="17">
        <f t="shared" si="2"/>
        <v>0</v>
      </c>
      <c r="I51" s="17">
        <f t="shared" si="2"/>
        <v>0</v>
      </c>
      <c r="J51" s="17">
        <f t="shared" si="2"/>
        <v>0</v>
      </c>
      <c r="K51" s="17">
        <f t="shared" si="2"/>
        <v>0</v>
      </c>
      <c r="L51" s="17">
        <f t="shared" si="2"/>
        <v>0</v>
      </c>
      <c r="M51" s="17">
        <f t="shared" si="2"/>
        <v>0</v>
      </c>
      <c r="N51" s="17">
        <f t="shared" si="2"/>
        <v>0</v>
      </c>
      <c r="O51" s="17">
        <f t="shared" si="2"/>
        <v>0</v>
      </c>
      <c r="P51" s="17">
        <f t="shared" si="2"/>
        <v>0</v>
      </c>
      <c r="Q51" s="17">
        <f t="shared" si="2"/>
        <v>0</v>
      </c>
      <c r="R51" s="18" cm="1">
        <f t="array" ref="R51">SUMPRODUCT(ABS(F51:Q51-F50:Q50))</f>
        <v>0.66666666666666674</v>
      </c>
      <c r="S51" s="18" cm="1">
        <f t="array" ref="S51">SUMPRODUCT(ABS(G51:Q51-G50:Q50))</f>
        <v>0.33333333333333331</v>
      </c>
    </row>
    <row r="52" spans="1:19" x14ac:dyDescent="0.3">
      <c r="A52" s="2" t="s">
        <v>112</v>
      </c>
      <c r="B52" s="2">
        <v>18</v>
      </c>
      <c r="C52" s="2" t="s">
        <v>113</v>
      </c>
      <c r="D52" s="2" t="s">
        <v>114</v>
      </c>
      <c r="F52" s="17">
        <f t="shared" si="2"/>
        <v>0.33333333333333331</v>
      </c>
      <c r="G52" s="17">
        <f t="shared" si="2"/>
        <v>0</v>
      </c>
      <c r="H52" s="17">
        <f t="shared" si="2"/>
        <v>0</v>
      </c>
      <c r="I52" s="17">
        <f t="shared" si="2"/>
        <v>0.33333333333333331</v>
      </c>
      <c r="J52" s="17">
        <f t="shared" si="2"/>
        <v>0</v>
      </c>
      <c r="K52" s="17">
        <f t="shared" si="2"/>
        <v>0</v>
      </c>
      <c r="L52" s="17">
        <f t="shared" si="2"/>
        <v>0.33333333333333331</v>
      </c>
      <c r="M52" s="17">
        <f t="shared" si="2"/>
        <v>0</v>
      </c>
      <c r="N52" s="17">
        <f t="shared" si="2"/>
        <v>0</v>
      </c>
      <c r="O52" s="17">
        <f t="shared" si="2"/>
        <v>0</v>
      </c>
      <c r="P52" s="17">
        <f t="shared" si="2"/>
        <v>0</v>
      </c>
      <c r="Q52" s="17">
        <f t="shared" si="2"/>
        <v>0</v>
      </c>
      <c r="R52" s="18" cm="1">
        <f t="array" ref="R52">SUMPRODUCT(ABS(F52:Q52-F51:Q51))</f>
        <v>1.3333333333333333</v>
      </c>
      <c r="S52" s="18" cm="1">
        <f t="array" ref="S52">SUMPRODUCT(ABS(G52:Q52-G51:Q51))</f>
        <v>0.66666666666666663</v>
      </c>
    </row>
    <row r="53" spans="1:19" x14ac:dyDescent="0.3">
      <c r="A53" s="2" t="s">
        <v>115</v>
      </c>
      <c r="B53" s="2">
        <v>16</v>
      </c>
      <c r="C53" s="2" t="s">
        <v>116</v>
      </c>
      <c r="D53" s="2" t="s">
        <v>12</v>
      </c>
      <c r="F53" s="17">
        <f t="shared" si="2"/>
        <v>0</v>
      </c>
      <c r="G53" s="17">
        <f t="shared" si="2"/>
        <v>0</v>
      </c>
      <c r="H53" s="17">
        <f t="shared" si="2"/>
        <v>0</v>
      </c>
      <c r="I53" s="17">
        <f t="shared" si="2"/>
        <v>0.33333333333333331</v>
      </c>
      <c r="J53" s="17">
        <f t="shared" si="2"/>
        <v>0</v>
      </c>
      <c r="K53" s="17">
        <f t="shared" si="2"/>
        <v>0</v>
      </c>
      <c r="L53" s="17">
        <f t="shared" si="2"/>
        <v>0.33333333333333331</v>
      </c>
      <c r="M53" s="17">
        <f t="shared" si="2"/>
        <v>0</v>
      </c>
      <c r="N53" s="17">
        <f t="shared" si="2"/>
        <v>0</v>
      </c>
      <c r="O53" s="17">
        <f t="shared" si="2"/>
        <v>0</v>
      </c>
      <c r="P53" s="17">
        <f t="shared" si="2"/>
        <v>0</v>
      </c>
      <c r="Q53" s="17">
        <f t="shared" si="2"/>
        <v>0.33333333333333331</v>
      </c>
      <c r="R53" s="18" cm="1">
        <f t="array" ref="R53">SUMPRODUCT(ABS(F53:Q53-F52:Q52))</f>
        <v>0.66666666666666663</v>
      </c>
      <c r="S53" s="18" cm="1">
        <f t="array" ref="S53">SUMPRODUCT(ABS(G53:Q53-G52:Q52))</f>
        <v>0.33333333333333331</v>
      </c>
    </row>
    <row r="54" spans="1:19" x14ac:dyDescent="0.3">
      <c r="A54" s="2" t="s">
        <v>117</v>
      </c>
      <c r="B54" s="2">
        <v>10</v>
      </c>
      <c r="C54" s="2" t="s">
        <v>118</v>
      </c>
      <c r="D54" s="2" t="s">
        <v>95</v>
      </c>
      <c r="F54" s="17">
        <f t="shared" si="2"/>
        <v>0.33333333333333331</v>
      </c>
      <c r="G54" s="17">
        <f t="shared" si="2"/>
        <v>0</v>
      </c>
      <c r="H54" s="17">
        <f t="shared" si="2"/>
        <v>0</v>
      </c>
      <c r="I54" s="17">
        <f t="shared" si="2"/>
        <v>0.33333333333333331</v>
      </c>
      <c r="J54" s="17">
        <f t="shared" si="2"/>
        <v>0</v>
      </c>
      <c r="K54" s="17">
        <f t="shared" si="2"/>
        <v>0</v>
      </c>
      <c r="L54" s="17">
        <f t="shared" si="2"/>
        <v>0</v>
      </c>
      <c r="M54" s="17">
        <f t="shared" si="2"/>
        <v>0</v>
      </c>
      <c r="N54" s="17">
        <f t="shared" si="2"/>
        <v>0</v>
      </c>
      <c r="O54" s="17">
        <f t="shared" si="2"/>
        <v>0</v>
      </c>
      <c r="P54" s="17">
        <f t="shared" si="2"/>
        <v>0</v>
      </c>
      <c r="Q54" s="17">
        <f t="shared" si="2"/>
        <v>0.33333333333333331</v>
      </c>
      <c r="R54" s="18" cm="1">
        <f t="array" ref="R54">SUMPRODUCT(ABS(F54:Q54-F53:Q53))</f>
        <v>0.66666666666666663</v>
      </c>
      <c r="S54" s="18" cm="1">
        <f t="array" ref="S54">SUMPRODUCT(ABS(G54:Q54-G53:Q53))</f>
        <v>0.33333333333333331</v>
      </c>
    </row>
    <row r="55" spans="1:19" x14ac:dyDescent="0.3">
      <c r="A55" s="2" t="s">
        <v>119</v>
      </c>
      <c r="B55" s="2">
        <v>24</v>
      </c>
      <c r="C55" s="2" t="s">
        <v>116</v>
      </c>
      <c r="D55" s="2" t="s">
        <v>28</v>
      </c>
      <c r="F55" s="17">
        <f t="shared" si="2"/>
        <v>0</v>
      </c>
      <c r="G55" s="17">
        <f t="shared" si="2"/>
        <v>0</v>
      </c>
      <c r="H55" s="17">
        <f t="shared" si="2"/>
        <v>0</v>
      </c>
      <c r="I55" s="17">
        <f t="shared" si="2"/>
        <v>0.33333333333333331</v>
      </c>
      <c r="J55" s="17">
        <f t="shared" si="2"/>
        <v>0</v>
      </c>
      <c r="K55" s="17">
        <f t="shared" si="2"/>
        <v>0</v>
      </c>
      <c r="L55" s="17">
        <f t="shared" si="2"/>
        <v>0.33333333333333331</v>
      </c>
      <c r="M55" s="17">
        <f t="shared" si="2"/>
        <v>0</v>
      </c>
      <c r="N55" s="17">
        <f t="shared" si="2"/>
        <v>0</v>
      </c>
      <c r="O55" s="17">
        <f t="shared" si="2"/>
        <v>0</v>
      </c>
      <c r="P55" s="17">
        <f t="shared" si="2"/>
        <v>0</v>
      </c>
      <c r="Q55" s="17">
        <f t="shared" si="2"/>
        <v>0.33333333333333331</v>
      </c>
      <c r="R55" s="18" cm="1">
        <f t="array" ref="R55">SUMPRODUCT(ABS(F55:Q55-F54:Q54))</f>
        <v>0.66666666666666663</v>
      </c>
      <c r="S55" s="18" cm="1">
        <f t="array" ref="S55">SUMPRODUCT(ABS(G55:Q55-G54:Q54))</f>
        <v>0.33333333333333331</v>
      </c>
    </row>
    <row r="56" spans="1:19" x14ac:dyDescent="0.3">
      <c r="A56" s="2" t="s">
        <v>120</v>
      </c>
      <c r="B56" s="2">
        <v>23</v>
      </c>
      <c r="C56" s="2" t="s">
        <v>121</v>
      </c>
      <c r="D56" s="2" t="s">
        <v>64</v>
      </c>
      <c r="F56" s="17">
        <f t="shared" si="2"/>
        <v>0.33333333333333331</v>
      </c>
      <c r="G56" s="17">
        <f t="shared" si="2"/>
        <v>0</v>
      </c>
      <c r="H56" s="17">
        <f t="shared" si="2"/>
        <v>0</v>
      </c>
      <c r="I56" s="17">
        <f t="shared" si="2"/>
        <v>0</v>
      </c>
      <c r="J56" s="17">
        <f t="shared" si="2"/>
        <v>0</v>
      </c>
      <c r="K56" s="17">
        <f t="shared" si="2"/>
        <v>0</v>
      </c>
      <c r="L56" s="17">
        <f t="shared" si="2"/>
        <v>0.33333333333333331</v>
      </c>
      <c r="M56" s="17">
        <f t="shared" si="2"/>
        <v>0</v>
      </c>
      <c r="N56" s="17">
        <f t="shared" si="2"/>
        <v>0</v>
      </c>
      <c r="O56" s="17">
        <f t="shared" si="2"/>
        <v>0</v>
      </c>
      <c r="P56" s="17">
        <f t="shared" si="2"/>
        <v>0</v>
      </c>
      <c r="Q56" s="17">
        <f t="shared" si="2"/>
        <v>0.33333333333333331</v>
      </c>
      <c r="R56" s="18" cm="1">
        <f t="array" ref="R56">SUMPRODUCT(ABS(F56:Q56-F55:Q55))</f>
        <v>0.66666666666666663</v>
      </c>
      <c r="S56" s="18" cm="1">
        <f t="array" ref="S56">SUMPRODUCT(ABS(G56:Q56-G55:Q55))</f>
        <v>0.33333333333333331</v>
      </c>
    </row>
    <row r="57" spans="1:19" x14ac:dyDescent="0.3">
      <c r="A57" s="2" t="s">
        <v>122</v>
      </c>
      <c r="B57" s="2">
        <v>4</v>
      </c>
      <c r="C57" s="2" t="s">
        <v>123</v>
      </c>
      <c r="D57" s="2" t="s">
        <v>103</v>
      </c>
      <c r="F57" s="17">
        <f t="shared" si="2"/>
        <v>0</v>
      </c>
      <c r="G57" s="17">
        <f t="shared" si="2"/>
        <v>0</v>
      </c>
      <c r="H57" s="17">
        <f t="shared" si="2"/>
        <v>0</v>
      </c>
      <c r="I57" s="17">
        <f t="shared" si="2"/>
        <v>0</v>
      </c>
      <c r="J57" s="17">
        <f t="shared" si="2"/>
        <v>0</v>
      </c>
      <c r="K57" s="17">
        <f t="shared" si="2"/>
        <v>0.33333333333333331</v>
      </c>
      <c r="L57" s="17">
        <f t="shared" si="2"/>
        <v>0.33333333333333331</v>
      </c>
      <c r="M57" s="17">
        <f t="shared" si="2"/>
        <v>0</v>
      </c>
      <c r="N57" s="17">
        <f t="shared" si="2"/>
        <v>0</v>
      </c>
      <c r="O57" s="17">
        <f t="shared" si="2"/>
        <v>0</v>
      </c>
      <c r="P57" s="17">
        <f t="shared" si="2"/>
        <v>0</v>
      </c>
      <c r="Q57" s="17">
        <f t="shared" si="2"/>
        <v>0.33333333333333331</v>
      </c>
      <c r="R57" s="18" cm="1">
        <f t="array" ref="R57">SUMPRODUCT(ABS(F57:Q57-F56:Q56))</f>
        <v>0.66666666666666663</v>
      </c>
      <c r="S57" s="18" cm="1">
        <f t="array" ref="S57">SUMPRODUCT(ABS(G57:Q57-G56:Q56))</f>
        <v>0.33333333333333331</v>
      </c>
    </row>
    <row r="58" spans="1:19" x14ac:dyDescent="0.3">
      <c r="A58" s="2" t="s">
        <v>124</v>
      </c>
      <c r="B58" s="2">
        <v>5</v>
      </c>
      <c r="C58" s="2" t="s">
        <v>121</v>
      </c>
      <c r="D58" s="2" t="s">
        <v>85</v>
      </c>
      <c r="F58" s="17">
        <f t="shared" si="2"/>
        <v>0.33333333333333331</v>
      </c>
      <c r="G58" s="17">
        <f t="shared" si="2"/>
        <v>0</v>
      </c>
      <c r="H58" s="17">
        <f t="shared" si="2"/>
        <v>0</v>
      </c>
      <c r="I58" s="17">
        <f t="shared" si="2"/>
        <v>0</v>
      </c>
      <c r="J58" s="17">
        <f t="shared" si="2"/>
        <v>0</v>
      </c>
      <c r="K58" s="17">
        <f t="shared" si="2"/>
        <v>0</v>
      </c>
      <c r="L58" s="17">
        <f t="shared" si="2"/>
        <v>0.33333333333333331</v>
      </c>
      <c r="M58" s="17">
        <f t="shared" si="2"/>
        <v>0</v>
      </c>
      <c r="N58" s="17">
        <f t="shared" si="2"/>
        <v>0</v>
      </c>
      <c r="O58" s="17">
        <f t="shared" si="2"/>
        <v>0</v>
      </c>
      <c r="P58" s="17">
        <f t="shared" si="2"/>
        <v>0</v>
      </c>
      <c r="Q58" s="17">
        <f t="shared" si="2"/>
        <v>0.33333333333333331</v>
      </c>
      <c r="R58" s="18" cm="1">
        <f t="array" ref="R58">SUMPRODUCT(ABS(F58:Q58-F57:Q57))</f>
        <v>0.66666666666666663</v>
      </c>
      <c r="S58" s="18" cm="1">
        <f t="array" ref="S58">SUMPRODUCT(ABS(G58:Q58-G57:Q57))</f>
        <v>0.33333333333333331</v>
      </c>
    </row>
    <row r="59" spans="1:19" x14ac:dyDescent="0.3">
      <c r="A59" s="2" t="s">
        <v>125</v>
      </c>
      <c r="B59" s="2">
        <v>3</v>
      </c>
      <c r="C59" s="2" t="s">
        <v>126</v>
      </c>
      <c r="D59" s="2" t="s">
        <v>127</v>
      </c>
      <c r="F59" s="17">
        <f t="shared" si="2"/>
        <v>0</v>
      </c>
      <c r="G59" s="17">
        <f t="shared" si="2"/>
        <v>0</v>
      </c>
      <c r="H59" s="17">
        <f t="shared" si="2"/>
        <v>0</v>
      </c>
      <c r="I59" s="17">
        <f t="shared" ref="G59:Q122" si="3">_xlfn.LET(_xlpm.t," "&amp;$C59&amp;" ",_xlpm.p,SEARCH(" "&amp;I$1&amp;" ",_xlpm.t),IFERROR(ROUND(VALUE(MID(_xlpm.t,_xlpm.p+LEN(I$1)+2,FIND("%",_xlpm.t,_xlpm.p)-_xlpm.p-LEN(I$1)-2))*3/100,0)/3,0))</f>
        <v>0</v>
      </c>
      <c r="J59" s="17">
        <f t="shared" si="3"/>
        <v>0</v>
      </c>
      <c r="K59" s="17">
        <f t="shared" si="3"/>
        <v>0</v>
      </c>
      <c r="L59" s="17">
        <f t="shared" si="3"/>
        <v>0.33333333333333331</v>
      </c>
      <c r="M59" s="17">
        <f t="shared" si="3"/>
        <v>0</v>
      </c>
      <c r="N59" s="17">
        <f t="shared" si="3"/>
        <v>0</v>
      </c>
      <c r="O59" s="17">
        <f t="shared" si="3"/>
        <v>0</v>
      </c>
      <c r="P59" s="17">
        <f t="shared" si="3"/>
        <v>0.33333333333333331</v>
      </c>
      <c r="Q59" s="17">
        <f t="shared" si="3"/>
        <v>0.33333333333333331</v>
      </c>
      <c r="R59" s="18" cm="1">
        <f t="array" ref="R59">SUMPRODUCT(ABS(F59:Q59-F58:Q58))</f>
        <v>0.66666666666666663</v>
      </c>
      <c r="S59" s="18" cm="1">
        <f t="array" ref="S59">SUMPRODUCT(ABS(G59:Q59-G58:Q58))</f>
        <v>0.33333333333333331</v>
      </c>
    </row>
    <row r="60" spans="1:19" x14ac:dyDescent="0.3">
      <c r="A60" s="2" t="s">
        <v>128</v>
      </c>
      <c r="B60" s="2">
        <v>2</v>
      </c>
      <c r="C60" s="2" t="s">
        <v>129</v>
      </c>
      <c r="D60" s="2" t="s">
        <v>130</v>
      </c>
      <c r="F60" s="17">
        <f t="shared" ref="F60:F123" si="4">_xlfn.LET(_xlpm.t," "&amp;$C60&amp;" ",_xlpm.p,SEARCH(" "&amp;F$1&amp;" ",_xlpm.t),IFERROR(ROUND(VALUE(MID(_xlpm.t,_xlpm.p+LEN(F$1)+2,FIND("%",_xlpm.t,_xlpm.p)-_xlpm.p-LEN(F$1)-2))*3/100,0)/3,0))</f>
        <v>0.33333333333333331</v>
      </c>
      <c r="G60" s="17">
        <f t="shared" si="3"/>
        <v>0</v>
      </c>
      <c r="H60" s="17">
        <f t="shared" si="3"/>
        <v>0</v>
      </c>
      <c r="I60" s="17">
        <f t="shared" si="3"/>
        <v>0</v>
      </c>
      <c r="J60" s="17">
        <f t="shared" si="3"/>
        <v>0</v>
      </c>
      <c r="K60" s="17">
        <f t="shared" si="3"/>
        <v>0</v>
      </c>
      <c r="L60" s="17">
        <f t="shared" si="3"/>
        <v>0.33333333333333331</v>
      </c>
      <c r="M60" s="17">
        <f t="shared" si="3"/>
        <v>0</v>
      </c>
      <c r="N60" s="17">
        <f t="shared" si="3"/>
        <v>0</v>
      </c>
      <c r="O60" s="17">
        <f t="shared" si="3"/>
        <v>0</v>
      </c>
      <c r="P60" s="17">
        <f t="shared" si="3"/>
        <v>0.33333333333333331</v>
      </c>
      <c r="Q60" s="17">
        <f t="shared" si="3"/>
        <v>0</v>
      </c>
      <c r="R60" s="18" cm="1">
        <f t="array" ref="R60">SUMPRODUCT(ABS(F60:Q60-F59:Q59))</f>
        <v>0.66666666666666663</v>
      </c>
      <c r="S60" s="18" cm="1">
        <f t="array" ref="S60">SUMPRODUCT(ABS(G60:Q60-G59:Q59))</f>
        <v>0.33333333333333331</v>
      </c>
    </row>
    <row r="61" spans="1:19" x14ac:dyDescent="0.3">
      <c r="A61" s="2" t="s">
        <v>131</v>
      </c>
      <c r="B61" s="2">
        <v>3</v>
      </c>
      <c r="C61" s="2" t="s">
        <v>132</v>
      </c>
      <c r="D61" s="2" t="s">
        <v>47</v>
      </c>
      <c r="F61" s="17">
        <f t="shared" si="4"/>
        <v>0.66666666666666663</v>
      </c>
      <c r="G61" s="17">
        <f t="shared" si="3"/>
        <v>0</v>
      </c>
      <c r="H61" s="17">
        <f t="shared" si="3"/>
        <v>0</v>
      </c>
      <c r="I61" s="17">
        <f t="shared" si="3"/>
        <v>0</v>
      </c>
      <c r="J61" s="17">
        <f t="shared" si="3"/>
        <v>0</v>
      </c>
      <c r="K61" s="17">
        <f t="shared" si="3"/>
        <v>0</v>
      </c>
      <c r="L61" s="17">
        <f t="shared" si="3"/>
        <v>0</v>
      </c>
      <c r="M61" s="17">
        <f t="shared" si="3"/>
        <v>0</v>
      </c>
      <c r="N61" s="17">
        <f t="shared" si="3"/>
        <v>0</v>
      </c>
      <c r="O61" s="17">
        <f t="shared" si="3"/>
        <v>0</v>
      </c>
      <c r="P61" s="17">
        <f t="shared" si="3"/>
        <v>0.33333333333333331</v>
      </c>
      <c r="Q61" s="17">
        <f t="shared" si="3"/>
        <v>0</v>
      </c>
      <c r="R61" s="18" cm="1">
        <f t="array" ref="R61">SUMPRODUCT(ABS(F61:Q61-F60:Q60))</f>
        <v>0.66666666666666663</v>
      </c>
      <c r="S61" s="18" cm="1">
        <f t="array" ref="S61">SUMPRODUCT(ABS(G61:Q61-G60:Q60))</f>
        <v>0.33333333333333331</v>
      </c>
    </row>
    <row r="62" spans="1:19" x14ac:dyDescent="0.3">
      <c r="A62" s="2" t="s">
        <v>133</v>
      </c>
      <c r="B62" s="2">
        <v>35</v>
      </c>
      <c r="C62" s="2" t="s">
        <v>5</v>
      </c>
      <c r="D62" s="2" t="s">
        <v>134</v>
      </c>
      <c r="F62" s="17">
        <f t="shared" si="4"/>
        <v>1</v>
      </c>
      <c r="G62" s="17">
        <f t="shared" si="3"/>
        <v>0</v>
      </c>
      <c r="H62" s="17">
        <f t="shared" si="3"/>
        <v>0</v>
      </c>
      <c r="I62" s="17">
        <f t="shared" si="3"/>
        <v>0</v>
      </c>
      <c r="J62" s="17">
        <f t="shared" si="3"/>
        <v>0</v>
      </c>
      <c r="K62" s="17">
        <f t="shared" si="3"/>
        <v>0</v>
      </c>
      <c r="L62" s="17">
        <f t="shared" si="3"/>
        <v>0</v>
      </c>
      <c r="M62" s="17">
        <f t="shared" si="3"/>
        <v>0</v>
      </c>
      <c r="N62" s="17">
        <f t="shared" si="3"/>
        <v>0</v>
      </c>
      <c r="O62" s="17">
        <f t="shared" si="3"/>
        <v>0</v>
      </c>
      <c r="P62" s="17">
        <f t="shared" si="3"/>
        <v>0</v>
      </c>
      <c r="Q62" s="17">
        <f t="shared" si="3"/>
        <v>0</v>
      </c>
      <c r="R62" s="18" cm="1">
        <f t="array" ref="R62">SUMPRODUCT(ABS(F62:Q62-F61:Q61))</f>
        <v>0.66666666666666674</v>
      </c>
      <c r="S62" s="18" cm="1">
        <f t="array" ref="S62">SUMPRODUCT(ABS(G62:Q62-G61:Q61))</f>
        <v>0.33333333333333331</v>
      </c>
    </row>
    <row r="63" spans="1:19" x14ac:dyDescent="0.3">
      <c r="A63" s="2" t="s">
        <v>135</v>
      </c>
      <c r="B63" s="2">
        <v>10</v>
      </c>
      <c r="C63" s="2" t="s">
        <v>132</v>
      </c>
      <c r="D63" s="2" t="s">
        <v>136</v>
      </c>
      <c r="F63" s="17">
        <f t="shared" si="4"/>
        <v>0.66666666666666663</v>
      </c>
      <c r="G63" s="17">
        <f t="shared" si="3"/>
        <v>0</v>
      </c>
      <c r="H63" s="17">
        <f t="shared" si="3"/>
        <v>0</v>
      </c>
      <c r="I63" s="17">
        <f t="shared" si="3"/>
        <v>0</v>
      </c>
      <c r="J63" s="17">
        <f t="shared" si="3"/>
        <v>0</v>
      </c>
      <c r="K63" s="17">
        <f t="shared" si="3"/>
        <v>0</v>
      </c>
      <c r="L63" s="17">
        <f t="shared" si="3"/>
        <v>0</v>
      </c>
      <c r="M63" s="17">
        <f t="shared" si="3"/>
        <v>0</v>
      </c>
      <c r="N63" s="17">
        <f t="shared" si="3"/>
        <v>0</v>
      </c>
      <c r="O63" s="17">
        <f t="shared" si="3"/>
        <v>0</v>
      </c>
      <c r="P63" s="17">
        <f t="shared" si="3"/>
        <v>0.33333333333333331</v>
      </c>
      <c r="Q63" s="17">
        <f t="shared" si="3"/>
        <v>0</v>
      </c>
      <c r="R63" s="18" cm="1">
        <f t="array" ref="R63">SUMPRODUCT(ABS(F63:Q63-F62:Q62))</f>
        <v>0.66666666666666674</v>
      </c>
      <c r="S63" s="18" cm="1">
        <f t="array" ref="S63">SUMPRODUCT(ABS(G63:Q63-G62:Q62))</f>
        <v>0.33333333333333331</v>
      </c>
    </row>
    <row r="64" spans="1:19" x14ac:dyDescent="0.3">
      <c r="A64" s="2" t="s">
        <v>137</v>
      </c>
      <c r="B64" s="2">
        <v>22</v>
      </c>
      <c r="C64" s="2" t="s">
        <v>5</v>
      </c>
      <c r="D64" s="2" t="s">
        <v>134</v>
      </c>
      <c r="F64" s="17">
        <f t="shared" si="4"/>
        <v>1</v>
      </c>
      <c r="G64" s="17">
        <f t="shared" si="3"/>
        <v>0</v>
      </c>
      <c r="H64" s="17">
        <f t="shared" si="3"/>
        <v>0</v>
      </c>
      <c r="I64" s="17">
        <f t="shared" si="3"/>
        <v>0</v>
      </c>
      <c r="J64" s="17">
        <f t="shared" si="3"/>
        <v>0</v>
      </c>
      <c r="K64" s="17">
        <f t="shared" si="3"/>
        <v>0</v>
      </c>
      <c r="L64" s="17">
        <f t="shared" si="3"/>
        <v>0</v>
      </c>
      <c r="M64" s="17">
        <f t="shared" si="3"/>
        <v>0</v>
      </c>
      <c r="N64" s="17">
        <f t="shared" si="3"/>
        <v>0</v>
      </c>
      <c r="O64" s="17">
        <f t="shared" si="3"/>
        <v>0</v>
      </c>
      <c r="P64" s="17">
        <f t="shared" si="3"/>
        <v>0</v>
      </c>
      <c r="Q64" s="17">
        <f t="shared" si="3"/>
        <v>0</v>
      </c>
      <c r="R64" s="18" cm="1">
        <f t="array" ref="R64">SUMPRODUCT(ABS(F64:Q64-F63:Q63))</f>
        <v>0.66666666666666674</v>
      </c>
      <c r="S64" s="18" cm="1">
        <f t="array" ref="S64">SUMPRODUCT(ABS(G64:Q64-G63:Q63))</f>
        <v>0.33333333333333331</v>
      </c>
    </row>
    <row r="65" spans="1:19" x14ac:dyDescent="0.3">
      <c r="A65" s="2" t="s">
        <v>138</v>
      </c>
      <c r="B65" s="2">
        <v>4</v>
      </c>
      <c r="C65" s="2" t="s">
        <v>132</v>
      </c>
      <c r="D65" s="2" t="s">
        <v>136</v>
      </c>
      <c r="F65" s="17">
        <f t="shared" si="4"/>
        <v>0.66666666666666663</v>
      </c>
      <c r="G65" s="17">
        <f t="shared" si="3"/>
        <v>0</v>
      </c>
      <c r="H65" s="17">
        <f t="shared" si="3"/>
        <v>0</v>
      </c>
      <c r="I65" s="17">
        <f t="shared" si="3"/>
        <v>0</v>
      </c>
      <c r="J65" s="17">
        <f t="shared" si="3"/>
        <v>0</v>
      </c>
      <c r="K65" s="17">
        <f t="shared" si="3"/>
        <v>0</v>
      </c>
      <c r="L65" s="17">
        <f t="shared" si="3"/>
        <v>0</v>
      </c>
      <c r="M65" s="17">
        <f t="shared" si="3"/>
        <v>0</v>
      </c>
      <c r="N65" s="17">
        <f t="shared" si="3"/>
        <v>0</v>
      </c>
      <c r="O65" s="17">
        <f t="shared" si="3"/>
        <v>0</v>
      </c>
      <c r="P65" s="17">
        <f t="shared" si="3"/>
        <v>0.33333333333333331</v>
      </c>
      <c r="Q65" s="17">
        <f t="shared" si="3"/>
        <v>0</v>
      </c>
      <c r="R65" s="18" cm="1">
        <f t="array" ref="R65">SUMPRODUCT(ABS(F65:Q65-F64:Q64))</f>
        <v>0.66666666666666674</v>
      </c>
      <c r="S65" s="18" cm="1">
        <f t="array" ref="S65">SUMPRODUCT(ABS(G65:Q65-G64:Q64))</f>
        <v>0.33333333333333331</v>
      </c>
    </row>
    <row r="66" spans="1:19" x14ac:dyDescent="0.3">
      <c r="A66" s="2" t="s">
        <v>139</v>
      </c>
      <c r="B66" s="2">
        <v>3</v>
      </c>
      <c r="C66" s="2" t="s">
        <v>140</v>
      </c>
      <c r="D66" s="2" t="s">
        <v>141</v>
      </c>
      <c r="F66" s="17">
        <f t="shared" si="4"/>
        <v>0.33333333333333331</v>
      </c>
      <c r="G66" s="17">
        <f t="shared" si="3"/>
        <v>0</v>
      </c>
      <c r="H66" s="17">
        <f t="shared" si="3"/>
        <v>0</v>
      </c>
      <c r="I66" s="17">
        <f t="shared" si="3"/>
        <v>0</v>
      </c>
      <c r="J66" s="17">
        <f t="shared" si="3"/>
        <v>0</v>
      </c>
      <c r="K66" s="17">
        <f t="shared" si="3"/>
        <v>0</v>
      </c>
      <c r="L66" s="17">
        <f t="shared" si="3"/>
        <v>0</v>
      </c>
      <c r="M66" s="17">
        <f t="shared" si="3"/>
        <v>0</v>
      </c>
      <c r="N66" s="17">
        <f t="shared" si="3"/>
        <v>0.33333333333333331</v>
      </c>
      <c r="O66" s="17">
        <f t="shared" si="3"/>
        <v>0</v>
      </c>
      <c r="P66" s="17">
        <f t="shared" si="3"/>
        <v>0.33333333333333331</v>
      </c>
      <c r="Q66" s="17">
        <f t="shared" si="3"/>
        <v>0</v>
      </c>
      <c r="R66" s="18" cm="1">
        <f t="array" ref="R66">SUMPRODUCT(ABS(F66:Q66-F65:Q65))</f>
        <v>0.66666666666666663</v>
      </c>
      <c r="S66" s="18" cm="1">
        <f t="array" ref="S66">SUMPRODUCT(ABS(G66:Q66-G65:Q65))</f>
        <v>0.33333333333333331</v>
      </c>
    </row>
    <row r="67" spans="1:19" x14ac:dyDescent="0.3">
      <c r="A67" s="2" t="s">
        <v>142</v>
      </c>
      <c r="B67" s="2">
        <v>36</v>
      </c>
      <c r="C67" s="2" t="s">
        <v>143</v>
      </c>
      <c r="D67" s="2" t="s">
        <v>12</v>
      </c>
      <c r="F67" s="17">
        <f t="shared" si="4"/>
        <v>0</v>
      </c>
      <c r="G67" s="17">
        <f t="shared" si="3"/>
        <v>0</v>
      </c>
      <c r="H67" s="17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7">
        <f t="shared" si="3"/>
        <v>0.33333333333333331</v>
      </c>
      <c r="O67" s="17">
        <f t="shared" si="3"/>
        <v>0</v>
      </c>
      <c r="P67" s="17">
        <f t="shared" si="3"/>
        <v>0.33333333333333331</v>
      </c>
      <c r="Q67" s="17">
        <f t="shared" si="3"/>
        <v>0.33333333333333331</v>
      </c>
      <c r="R67" s="18" cm="1">
        <f t="array" ref="R67">SUMPRODUCT(ABS(F67:Q67-F66:Q66))</f>
        <v>0.66666666666666663</v>
      </c>
      <c r="S67" s="18" cm="1">
        <f t="array" ref="S67">SUMPRODUCT(ABS(G67:Q67-G66:Q66))</f>
        <v>0.33333333333333331</v>
      </c>
    </row>
    <row r="68" spans="1:19" x14ac:dyDescent="0.3">
      <c r="A68" s="2" t="s">
        <v>144</v>
      </c>
      <c r="B68" s="2">
        <v>8</v>
      </c>
      <c r="C68" s="2" t="s">
        <v>140</v>
      </c>
      <c r="D68" s="2" t="s">
        <v>130</v>
      </c>
      <c r="F68" s="17">
        <f t="shared" si="4"/>
        <v>0.33333333333333331</v>
      </c>
      <c r="G68" s="17">
        <f t="shared" si="3"/>
        <v>0</v>
      </c>
      <c r="H68" s="17">
        <f t="shared" si="3"/>
        <v>0</v>
      </c>
      <c r="I68" s="17">
        <f t="shared" si="3"/>
        <v>0</v>
      </c>
      <c r="J68" s="17">
        <f t="shared" si="3"/>
        <v>0</v>
      </c>
      <c r="K68" s="17">
        <f t="shared" si="3"/>
        <v>0</v>
      </c>
      <c r="L68" s="17">
        <f t="shared" si="3"/>
        <v>0</v>
      </c>
      <c r="M68" s="17">
        <f t="shared" si="3"/>
        <v>0</v>
      </c>
      <c r="N68" s="17">
        <f t="shared" si="3"/>
        <v>0.33333333333333331</v>
      </c>
      <c r="O68" s="17">
        <f t="shared" si="3"/>
        <v>0</v>
      </c>
      <c r="P68" s="17">
        <f t="shared" si="3"/>
        <v>0.33333333333333331</v>
      </c>
      <c r="Q68" s="17">
        <f t="shared" si="3"/>
        <v>0</v>
      </c>
      <c r="R68" s="18" cm="1">
        <f t="array" ref="R68">SUMPRODUCT(ABS(F68:Q68-F67:Q67))</f>
        <v>0.66666666666666663</v>
      </c>
      <c r="S68" s="18" cm="1">
        <f t="array" ref="S68">SUMPRODUCT(ABS(G68:Q68-G67:Q67))</f>
        <v>0.33333333333333331</v>
      </c>
    </row>
    <row r="69" spans="1:19" x14ac:dyDescent="0.3">
      <c r="A69" s="2" t="s">
        <v>145</v>
      </c>
      <c r="B69" s="2">
        <v>9</v>
      </c>
      <c r="C69" s="2" t="s">
        <v>146</v>
      </c>
      <c r="D69" s="2" t="s">
        <v>28</v>
      </c>
      <c r="F69" s="17">
        <f t="shared" si="4"/>
        <v>0</v>
      </c>
      <c r="G69" s="17">
        <f t="shared" si="3"/>
        <v>0</v>
      </c>
      <c r="H69" s="17">
        <f t="shared" si="3"/>
        <v>0</v>
      </c>
      <c r="I69" s="17">
        <f t="shared" si="3"/>
        <v>0</v>
      </c>
      <c r="J69" s="17">
        <f t="shared" si="3"/>
        <v>0</v>
      </c>
      <c r="K69" s="17">
        <f t="shared" si="3"/>
        <v>0</v>
      </c>
      <c r="L69" s="17">
        <f t="shared" si="3"/>
        <v>0.33333333333333331</v>
      </c>
      <c r="M69" s="17">
        <f t="shared" si="3"/>
        <v>0</v>
      </c>
      <c r="N69" s="17">
        <f t="shared" si="3"/>
        <v>0.33333333333333331</v>
      </c>
      <c r="O69" s="17">
        <f t="shared" si="3"/>
        <v>0</v>
      </c>
      <c r="P69" s="17">
        <f t="shared" si="3"/>
        <v>0.33333333333333331</v>
      </c>
      <c r="Q69" s="17">
        <f t="shared" si="3"/>
        <v>0</v>
      </c>
      <c r="R69" s="18" cm="1">
        <f t="array" ref="R69">SUMPRODUCT(ABS(F69:Q69-F68:Q68))</f>
        <v>0.66666666666666663</v>
      </c>
      <c r="S69" s="18" cm="1">
        <f t="array" ref="S69">SUMPRODUCT(ABS(G69:Q69-G68:Q68))</f>
        <v>0.33333333333333331</v>
      </c>
    </row>
    <row r="70" spans="1:19" x14ac:dyDescent="0.3">
      <c r="A70" s="2" t="s">
        <v>147</v>
      </c>
      <c r="B70" s="2">
        <v>17</v>
      </c>
      <c r="C70" s="2" t="s">
        <v>148</v>
      </c>
      <c r="D70" s="2" t="s">
        <v>149</v>
      </c>
      <c r="F70" s="17">
        <f t="shared" si="4"/>
        <v>0</v>
      </c>
      <c r="G70" s="17">
        <f t="shared" si="3"/>
        <v>0</v>
      </c>
      <c r="H70" s="17">
        <f t="shared" si="3"/>
        <v>0</v>
      </c>
      <c r="I70" s="17">
        <f t="shared" si="3"/>
        <v>0</v>
      </c>
      <c r="J70" s="17">
        <f t="shared" si="3"/>
        <v>0</v>
      </c>
      <c r="K70" s="17">
        <f t="shared" si="3"/>
        <v>0</v>
      </c>
      <c r="L70" s="17">
        <f t="shared" si="3"/>
        <v>0.33333333333333331</v>
      </c>
      <c r="M70" s="17">
        <f t="shared" si="3"/>
        <v>0</v>
      </c>
      <c r="N70" s="17">
        <f t="shared" si="3"/>
        <v>0.33333333333333331</v>
      </c>
      <c r="O70" s="17">
        <f t="shared" si="3"/>
        <v>0</v>
      </c>
      <c r="P70" s="17">
        <f t="shared" si="3"/>
        <v>0</v>
      </c>
      <c r="Q70" s="17">
        <f t="shared" si="3"/>
        <v>0.33333333333333331</v>
      </c>
      <c r="R70" s="18" cm="1">
        <f t="array" ref="R70">SUMPRODUCT(ABS(F70:Q70-F69:Q69))</f>
        <v>0.66666666666666663</v>
      </c>
      <c r="S70" s="18" cm="1">
        <f t="array" ref="S70">SUMPRODUCT(ABS(G70:Q70-G69:Q69))</f>
        <v>0.66666666666666663</v>
      </c>
    </row>
    <row r="71" spans="1:19" x14ac:dyDescent="0.3">
      <c r="A71" s="2" t="s">
        <v>150</v>
      </c>
      <c r="B71" s="2">
        <v>1</v>
      </c>
      <c r="C71" s="2" t="s">
        <v>151</v>
      </c>
      <c r="D71" s="2" t="s">
        <v>95</v>
      </c>
      <c r="F71" s="17">
        <f t="shared" si="4"/>
        <v>0.33333333333333331</v>
      </c>
      <c r="G71" s="17">
        <f t="shared" si="3"/>
        <v>0</v>
      </c>
      <c r="H71" s="17">
        <f t="shared" si="3"/>
        <v>0</v>
      </c>
      <c r="I71" s="17">
        <f t="shared" si="3"/>
        <v>0</v>
      </c>
      <c r="J71" s="17">
        <f t="shared" si="3"/>
        <v>0</v>
      </c>
      <c r="K71" s="17">
        <f t="shared" si="3"/>
        <v>0</v>
      </c>
      <c r="L71" s="17">
        <f t="shared" si="3"/>
        <v>0</v>
      </c>
      <c r="M71" s="17">
        <f t="shared" si="3"/>
        <v>0</v>
      </c>
      <c r="N71" s="17">
        <f t="shared" si="3"/>
        <v>0.33333333333333331</v>
      </c>
      <c r="O71" s="17">
        <f t="shared" si="3"/>
        <v>0</v>
      </c>
      <c r="P71" s="17">
        <f t="shared" si="3"/>
        <v>0</v>
      </c>
      <c r="Q71" s="17">
        <f t="shared" si="3"/>
        <v>0.33333333333333331</v>
      </c>
      <c r="R71" s="18" cm="1">
        <f t="array" ref="R71">SUMPRODUCT(ABS(F71:Q71-F70:Q70))</f>
        <v>0.66666666666666663</v>
      </c>
      <c r="S71" s="18" cm="1">
        <f t="array" ref="S71">SUMPRODUCT(ABS(G71:Q71-G70:Q70))</f>
        <v>0.33333333333333331</v>
      </c>
    </row>
    <row r="72" spans="1:19" x14ac:dyDescent="0.3">
      <c r="A72" s="2" t="s">
        <v>152</v>
      </c>
      <c r="B72" s="2">
        <v>8</v>
      </c>
      <c r="C72" s="2" t="s">
        <v>153</v>
      </c>
      <c r="D72" s="2" t="s">
        <v>23</v>
      </c>
      <c r="F72" s="17">
        <f t="shared" si="4"/>
        <v>0.66666666666666663</v>
      </c>
      <c r="G72" s="17">
        <f t="shared" si="3"/>
        <v>0</v>
      </c>
      <c r="H72" s="17">
        <f t="shared" si="3"/>
        <v>0</v>
      </c>
      <c r="I72" s="17">
        <f t="shared" si="3"/>
        <v>0</v>
      </c>
      <c r="J72" s="17">
        <f t="shared" si="3"/>
        <v>0</v>
      </c>
      <c r="K72" s="17">
        <f t="shared" si="3"/>
        <v>0</v>
      </c>
      <c r="L72" s="17">
        <f t="shared" si="3"/>
        <v>0</v>
      </c>
      <c r="M72" s="17">
        <f t="shared" si="3"/>
        <v>0</v>
      </c>
      <c r="N72" s="17">
        <f t="shared" si="3"/>
        <v>0.33333333333333331</v>
      </c>
      <c r="O72" s="17">
        <f t="shared" si="3"/>
        <v>0</v>
      </c>
      <c r="P72" s="17">
        <f t="shared" si="3"/>
        <v>0</v>
      </c>
      <c r="Q72" s="17">
        <f t="shared" si="3"/>
        <v>0</v>
      </c>
      <c r="R72" s="18" cm="1">
        <f t="array" ref="R72">SUMPRODUCT(ABS(F72:Q72-F71:Q71))</f>
        <v>0.66666666666666663</v>
      </c>
      <c r="S72" s="18" cm="1">
        <f t="array" ref="S72">SUMPRODUCT(ABS(G72:Q72-G71:Q71))</f>
        <v>0.33333333333333331</v>
      </c>
    </row>
    <row r="73" spans="1:19" x14ac:dyDescent="0.3">
      <c r="A73" s="2" t="s">
        <v>154</v>
      </c>
      <c r="B73" s="2">
        <v>10</v>
      </c>
      <c r="C73" s="2" t="s">
        <v>155</v>
      </c>
      <c r="D73" s="2" t="s">
        <v>25</v>
      </c>
      <c r="F73" s="17">
        <f t="shared" si="4"/>
        <v>0.33333333333333331</v>
      </c>
      <c r="G73" s="17">
        <f t="shared" si="3"/>
        <v>0</v>
      </c>
      <c r="H73" s="17">
        <f t="shared" si="3"/>
        <v>0</v>
      </c>
      <c r="I73" s="17">
        <f t="shared" si="3"/>
        <v>0</v>
      </c>
      <c r="J73" s="17">
        <f t="shared" si="3"/>
        <v>0</v>
      </c>
      <c r="K73" s="17">
        <f t="shared" si="3"/>
        <v>0</v>
      </c>
      <c r="L73" s="17">
        <f t="shared" si="3"/>
        <v>0</v>
      </c>
      <c r="M73" s="17">
        <f t="shared" si="3"/>
        <v>0</v>
      </c>
      <c r="N73" s="17">
        <f t="shared" si="3"/>
        <v>0.33333333333333331</v>
      </c>
      <c r="O73" s="17">
        <f t="shared" si="3"/>
        <v>0.33333333333333331</v>
      </c>
      <c r="P73" s="17">
        <f t="shared" si="3"/>
        <v>0</v>
      </c>
      <c r="Q73" s="17">
        <f t="shared" si="3"/>
        <v>0</v>
      </c>
      <c r="R73" s="18" cm="1">
        <f t="array" ref="R73">SUMPRODUCT(ABS(F73:Q73-F72:Q72))</f>
        <v>0.66666666666666663</v>
      </c>
      <c r="S73" s="18" cm="1">
        <f t="array" ref="S73">SUMPRODUCT(ABS(G73:Q73-G72:Q72))</f>
        <v>0.33333333333333331</v>
      </c>
    </row>
    <row r="74" spans="1:19" x14ac:dyDescent="0.3">
      <c r="A74" s="2" t="s">
        <v>156</v>
      </c>
      <c r="B74" s="2">
        <v>40</v>
      </c>
      <c r="C74" s="2" t="s">
        <v>157</v>
      </c>
      <c r="D74" s="2" t="s">
        <v>158</v>
      </c>
      <c r="F74" s="17">
        <f t="shared" si="4"/>
        <v>0</v>
      </c>
      <c r="G74" s="17">
        <f t="shared" si="3"/>
        <v>0</v>
      </c>
      <c r="H74" s="17">
        <f t="shared" si="3"/>
        <v>0</v>
      </c>
      <c r="I74" s="17">
        <f t="shared" si="3"/>
        <v>0</v>
      </c>
      <c r="J74" s="17">
        <f t="shared" si="3"/>
        <v>0</v>
      </c>
      <c r="K74" s="17">
        <f t="shared" si="3"/>
        <v>0</v>
      </c>
      <c r="L74" s="17">
        <f t="shared" si="3"/>
        <v>0</v>
      </c>
      <c r="M74" s="17">
        <f t="shared" si="3"/>
        <v>0.33333333333333331</v>
      </c>
      <c r="N74" s="17">
        <f t="shared" si="3"/>
        <v>0.33333333333333331</v>
      </c>
      <c r="O74" s="17">
        <f t="shared" si="3"/>
        <v>0.33333333333333331</v>
      </c>
      <c r="P74" s="17">
        <f t="shared" si="3"/>
        <v>0</v>
      </c>
      <c r="Q74" s="17">
        <f t="shared" si="3"/>
        <v>0</v>
      </c>
      <c r="R74" s="18" cm="1">
        <f t="array" ref="R74">SUMPRODUCT(ABS(F74:Q74-F73:Q73))</f>
        <v>0.66666666666666663</v>
      </c>
      <c r="S74" s="18" cm="1">
        <f t="array" ref="S74">SUMPRODUCT(ABS(G74:Q74-G73:Q73))</f>
        <v>0.33333333333333331</v>
      </c>
    </row>
    <row r="75" spans="1:19" x14ac:dyDescent="0.3">
      <c r="A75" s="2" t="s">
        <v>159</v>
      </c>
      <c r="B75" s="2">
        <v>21</v>
      </c>
      <c r="C75" s="2" t="s">
        <v>155</v>
      </c>
      <c r="D75" s="2" t="s">
        <v>160</v>
      </c>
      <c r="F75" s="17">
        <f t="shared" si="4"/>
        <v>0.33333333333333331</v>
      </c>
      <c r="G75" s="17">
        <f t="shared" si="3"/>
        <v>0</v>
      </c>
      <c r="H75" s="17">
        <f t="shared" si="3"/>
        <v>0</v>
      </c>
      <c r="I75" s="17">
        <f t="shared" si="3"/>
        <v>0</v>
      </c>
      <c r="J75" s="17">
        <f t="shared" si="3"/>
        <v>0</v>
      </c>
      <c r="K75" s="17">
        <f t="shared" si="3"/>
        <v>0</v>
      </c>
      <c r="L75" s="17">
        <f t="shared" si="3"/>
        <v>0</v>
      </c>
      <c r="M75" s="17">
        <f t="shared" si="3"/>
        <v>0</v>
      </c>
      <c r="N75" s="17">
        <f t="shared" si="3"/>
        <v>0.33333333333333331</v>
      </c>
      <c r="O75" s="17">
        <f t="shared" si="3"/>
        <v>0.33333333333333331</v>
      </c>
      <c r="P75" s="17">
        <f t="shared" si="3"/>
        <v>0</v>
      </c>
      <c r="Q75" s="17">
        <f t="shared" si="3"/>
        <v>0</v>
      </c>
      <c r="R75" s="18" cm="1">
        <f t="array" ref="R75">SUMPRODUCT(ABS(F75:Q75-F74:Q74))</f>
        <v>0.66666666666666663</v>
      </c>
      <c r="S75" s="18" cm="1">
        <f t="array" ref="S75">SUMPRODUCT(ABS(G75:Q75-G74:Q74))</f>
        <v>0.33333333333333331</v>
      </c>
    </row>
    <row r="76" spans="1:19" x14ac:dyDescent="0.3">
      <c r="A76" s="2" t="s">
        <v>161</v>
      </c>
      <c r="B76" s="2">
        <v>37</v>
      </c>
      <c r="C76" s="2" t="s">
        <v>157</v>
      </c>
      <c r="D76" s="2" t="s">
        <v>158</v>
      </c>
      <c r="F76" s="17">
        <f t="shared" si="4"/>
        <v>0</v>
      </c>
      <c r="G76" s="17">
        <f t="shared" si="3"/>
        <v>0</v>
      </c>
      <c r="H76" s="17">
        <f t="shared" si="3"/>
        <v>0</v>
      </c>
      <c r="I76" s="17">
        <f t="shared" si="3"/>
        <v>0</v>
      </c>
      <c r="J76" s="17">
        <f t="shared" si="3"/>
        <v>0</v>
      </c>
      <c r="K76" s="17">
        <f t="shared" si="3"/>
        <v>0</v>
      </c>
      <c r="L76" s="17">
        <f t="shared" si="3"/>
        <v>0</v>
      </c>
      <c r="M76" s="17">
        <f t="shared" si="3"/>
        <v>0.33333333333333331</v>
      </c>
      <c r="N76" s="17">
        <f t="shared" si="3"/>
        <v>0.33333333333333331</v>
      </c>
      <c r="O76" s="17">
        <f t="shared" si="3"/>
        <v>0.33333333333333331</v>
      </c>
      <c r="P76" s="17">
        <f t="shared" si="3"/>
        <v>0</v>
      </c>
      <c r="Q76" s="17">
        <f t="shared" si="3"/>
        <v>0</v>
      </c>
      <c r="R76" s="18" cm="1">
        <f t="array" ref="R76">SUMPRODUCT(ABS(F76:Q76-F75:Q75))</f>
        <v>0.66666666666666663</v>
      </c>
      <c r="S76" s="18" cm="1">
        <f t="array" ref="S76">SUMPRODUCT(ABS(G76:Q76-G75:Q75))</f>
        <v>0.33333333333333331</v>
      </c>
    </row>
    <row r="77" spans="1:19" x14ac:dyDescent="0.3">
      <c r="A77" s="2" t="s">
        <v>162</v>
      </c>
      <c r="B77" s="2">
        <v>6</v>
      </c>
      <c r="C77" s="2" t="s">
        <v>163</v>
      </c>
      <c r="D77" s="2" t="s">
        <v>164</v>
      </c>
      <c r="F77" s="17">
        <f t="shared" si="4"/>
        <v>0</v>
      </c>
      <c r="G77" s="17">
        <f t="shared" si="3"/>
        <v>0</v>
      </c>
      <c r="H77" s="17">
        <f t="shared" si="3"/>
        <v>0</v>
      </c>
      <c r="I77" s="17">
        <f t="shared" si="3"/>
        <v>0</v>
      </c>
      <c r="J77" s="17">
        <f t="shared" si="3"/>
        <v>0</v>
      </c>
      <c r="K77" s="17">
        <f t="shared" si="3"/>
        <v>0</v>
      </c>
      <c r="L77" s="17">
        <f t="shared" si="3"/>
        <v>0.33333333333333331</v>
      </c>
      <c r="M77" s="17">
        <f t="shared" si="3"/>
        <v>0</v>
      </c>
      <c r="N77" s="17">
        <f t="shared" si="3"/>
        <v>0.33333333333333331</v>
      </c>
      <c r="O77" s="17">
        <f t="shared" si="3"/>
        <v>0.33333333333333331</v>
      </c>
      <c r="P77" s="17">
        <f t="shared" si="3"/>
        <v>0</v>
      </c>
      <c r="Q77" s="17">
        <f t="shared" si="3"/>
        <v>0</v>
      </c>
      <c r="R77" s="18" cm="1">
        <f t="array" ref="R77">SUMPRODUCT(ABS(F77:Q77-F76:Q76))</f>
        <v>0.66666666666666663</v>
      </c>
      <c r="S77" s="18" cm="1">
        <f t="array" ref="S77">SUMPRODUCT(ABS(G77:Q77-G76:Q76))</f>
        <v>0.66666666666666663</v>
      </c>
    </row>
    <row r="78" spans="1:19" x14ac:dyDescent="0.3">
      <c r="A78" s="2" t="s">
        <v>165</v>
      </c>
      <c r="B78" s="2">
        <v>1</v>
      </c>
      <c r="C78" s="2" t="s">
        <v>40</v>
      </c>
      <c r="D78" s="2" t="s">
        <v>166</v>
      </c>
      <c r="F78" s="17">
        <f t="shared" si="4"/>
        <v>0.33333333333333331</v>
      </c>
      <c r="G78" s="17">
        <f t="shared" si="3"/>
        <v>0</v>
      </c>
      <c r="H78" s="17">
        <f t="shared" si="3"/>
        <v>0</v>
      </c>
      <c r="I78" s="17">
        <f t="shared" si="3"/>
        <v>0</v>
      </c>
      <c r="J78" s="17">
        <f t="shared" si="3"/>
        <v>0</v>
      </c>
      <c r="K78" s="17">
        <f t="shared" si="3"/>
        <v>0</v>
      </c>
      <c r="L78" s="17">
        <f t="shared" si="3"/>
        <v>0.33333333333333331</v>
      </c>
      <c r="M78" s="17">
        <f t="shared" si="3"/>
        <v>0</v>
      </c>
      <c r="N78" s="17">
        <f t="shared" si="3"/>
        <v>0</v>
      </c>
      <c r="O78" s="17">
        <f t="shared" si="3"/>
        <v>0.33333333333333331</v>
      </c>
      <c r="P78" s="17">
        <f t="shared" si="3"/>
        <v>0</v>
      </c>
      <c r="Q78" s="17">
        <f t="shared" si="3"/>
        <v>0</v>
      </c>
      <c r="R78" s="18" cm="1">
        <f t="array" ref="R78">SUMPRODUCT(ABS(F78:Q78-F77:Q77))</f>
        <v>0.66666666666666663</v>
      </c>
      <c r="S78" s="18" cm="1">
        <f t="array" ref="S78">SUMPRODUCT(ABS(G78:Q78-G77:Q77))</f>
        <v>0.33333333333333331</v>
      </c>
    </row>
    <row r="79" spans="1:19" x14ac:dyDescent="0.3">
      <c r="A79" s="2" t="s">
        <v>167</v>
      </c>
      <c r="B79" s="2">
        <v>16</v>
      </c>
      <c r="C79" s="2" t="s">
        <v>43</v>
      </c>
      <c r="D79" s="2" t="s">
        <v>44</v>
      </c>
      <c r="F79" s="17">
        <f t="shared" si="4"/>
        <v>0.66666666666666663</v>
      </c>
      <c r="G79" s="17">
        <f t="shared" si="3"/>
        <v>0</v>
      </c>
      <c r="H79" s="17">
        <f t="shared" si="3"/>
        <v>0</v>
      </c>
      <c r="I79" s="17">
        <f t="shared" si="3"/>
        <v>0</v>
      </c>
      <c r="J79" s="17">
        <f t="shared" si="3"/>
        <v>0</v>
      </c>
      <c r="K79" s="17">
        <f t="shared" si="3"/>
        <v>0</v>
      </c>
      <c r="L79" s="17">
        <f t="shared" si="3"/>
        <v>0.33333333333333331</v>
      </c>
      <c r="M79" s="17">
        <f t="shared" si="3"/>
        <v>0</v>
      </c>
      <c r="N79" s="17">
        <f t="shared" si="3"/>
        <v>0</v>
      </c>
      <c r="O79" s="17">
        <f t="shared" si="3"/>
        <v>0</v>
      </c>
      <c r="P79" s="17">
        <f t="shared" si="3"/>
        <v>0</v>
      </c>
      <c r="Q79" s="17">
        <f t="shared" si="3"/>
        <v>0</v>
      </c>
      <c r="R79" s="18" cm="1">
        <f t="array" ref="R79">SUMPRODUCT(ABS(F79:Q79-F78:Q78))</f>
        <v>0.66666666666666663</v>
      </c>
      <c r="S79" s="18" cm="1">
        <f t="array" ref="S79">SUMPRODUCT(ABS(G79:Q79-G78:Q78))</f>
        <v>0.33333333333333331</v>
      </c>
    </row>
    <row r="80" spans="1:19" x14ac:dyDescent="0.3">
      <c r="A80" s="2" t="s">
        <v>168</v>
      </c>
      <c r="B80" s="2">
        <v>6</v>
      </c>
      <c r="C80" s="2" t="s">
        <v>169</v>
      </c>
      <c r="D80" s="2" t="s">
        <v>170</v>
      </c>
      <c r="F80" s="17">
        <f t="shared" si="4"/>
        <v>0.33333333333333331</v>
      </c>
      <c r="G80" s="17">
        <f t="shared" si="3"/>
        <v>0</v>
      </c>
      <c r="H80" s="17">
        <f t="shared" si="3"/>
        <v>0.33333333333333331</v>
      </c>
      <c r="I80" s="17">
        <f t="shared" si="3"/>
        <v>0</v>
      </c>
      <c r="J80" s="17">
        <f t="shared" si="3"/>
        <v>0</v>
      </c>
      <c r="K80" s="17">
        <f t="shared" si="3"/>
        <v>0</v>
      </c>
      <c r="L80" s="17">
        <f t="shared" si="3"/>
        <v>0.33333333333333331</v>
      </c>
      <c r="M80" s="17">
        <f t="shared" si="3"/>
        <v>0</v>
      </c>
      <c r="N80" s="17">
        <f t="shared" si="3"/>
        <v>0</v>
      </c>
      <c r="O80" s="17">
        <f t="shared" si="3"/>
        <v>0</v>
      </c>
      <c r="P80" s="17">
        <f t="shared" si="3"/>
        <v>0</v>
      </c>
      <c r="Q80" s="17">
        <f t="shared" si="3"/>
        <v>0</v>
      </c>
      <c r="R80" s="18" cm="1">
        <f t="array" ref="R80">SUMPRODUCT(ABS(F80:Q80-F79:Q79))</f>
        <v>0.66666666666666663</v>
      </c>
      <c r="S80" s="18" cm="1">
        <f t="array" ref="S80">SUMPRODUCT(ABS(G80:Q80-G79:Q79))</f>
        <v>0.33333333333333331</v>
      </c>
    </row>
    <row r="81" spans="1:19" x14ac:dyDescent="0.3">
      <c r="A81" s="2" t="s">
        <v>171</v>
      </c>
      <c r="B81" s="2">
        <v>26</v>
      </c>
      <c r="C81" s="2" t="s">
        <v>172</v>
      </c>
      <c r="D81" s="2" t="s">
        <v>56</v>
      </c>
      <c r="F81" s="17">
        <f t="shared" si="4"/>
        <v>0</v>
      </c>
      <c r="G81" s="17">
        <f t="shared" si="3"/>
        <v>0</v>
      </c>
      <c r="H81" s="17">
        <f t="shared" si="3"/>
        <v>0.33333333333333331</v>
      </c>
      <c r="I81" s="17">
        <f t="shared" si="3"/>
        <v>0</v>
      </c>
      <c r="J81" s="17">
        <f t="shared" si="3"/>
        <v>0.33333333333333331</v>
      </c>
      <c r="K81" s="17">
        <f t="shared" si="3"/>
        <v>0</v>
      </c>
      <c r="L81" s="17">
        <f t="shared" si="3"/>
        <v>0.33333333333333331</v>
      </c>
      <c r="M81" s="17">
        <f t="shared" si="3"/>
        <v>0</v>
      </c>
      <c r="N81" s="17">
        <f t="shared" si="3"/>
        <v>0</v>
      </c>
      <c r="O81" s="17">
        <f t="shared" si="3"/>
        <v>0</v>
      </c>
      <c r="P81" s="17">
        <f t="shared" si="3"/>
        <v>0</v>
      </c>
      <c r="Q81" s="17">
        <f t="shared" si="3"/>
        <v>0</v>
      </c>
      <c r="R81" s="18" cm="1">
        <f t="array" ref="R81">SUMPRODUCT(ABS(F81:Q81-F80:Q80))</f>
        <v>0.66666666666666663</v>
      </c>
      <c r="S81" s="18" cm="1">
        <f t="array" ref="S81">SUMPRODUCT(ABS(G81:Q81-G80:Q80))</f>
        <v>0.33333333333333331</v>
      </c>
    </row>
    <row r="82" spans="1:19" x14ac:dyDescent="0.3">
      <c r="A82" s="2" t="s">
        <v>173</v>
      </c>
      <c r="B82" s="2">
        <v>14</v>
      </c>
      <c r="C82" s="2" t="s">
        <v>174</v>
      </c>
      <c r="D82" s="2" t="s">
        <v>175</v>
      </c>
      <c r="F82" s="17">
        <f t="shared" si="4"/>
        <v>0</v>
      </c>
      <c r="G82" s="17">
        <f t="shared" si="3"/>
        <v>0</v>
      </c>
      <c r="H82" s="17">
        <f t="shared" si="3"/>
        <v>0.33333333333333331</v>
      </c>
      <c r="I82" s="17">
        <f t="shared" si="3"/>
        <v>0</v>
      </c>
      <c r="J82" s="17">
        <f t="shared" si="3"/>
        <v>0</v>
      </c>
      <c r="K82" s="17">
        <f t="shared" ref="G82:Q145" si="5">_xlfn.LET(_xlpm.t," "&amp;$C82&amp;" ",_xlpm.p,SEARCH(" "&amp;K$1&amp;" ",_xlpm.t),IFERROR(ROUND(VALUE(MID(_xlpm.t,_xlpm.p+LEN(K$1)+2,FIND("%",_xlpm.t,_xlpm.p)-_xlpm.p-LEN(K$1)-2))*3/100,0)/3,0))</f>
        <v>0</v>
      </c>
      <c r="L82" s="17">
        <f t="shared" si="5"/>
        <v>0.33333333333333331</v>
      </c>
      <c r="M82" s="17">
        <f t="shared" si="5"/>
        <v>0</v>
      </c>
      <c r="N82" s="17">
        <f t="shared" si="5"/>
        <v>0</v>
      </c>
      <c r="O82" s="17">
        <f t="shared" si="5"/>
        <v>0.33333333333333331</v>
      </c>
      <c r="P82" s="17">
        <f t="shared" si="5"/>
        <v>0</v>
      </c>
      <c r="Q82" s="17">
        <f t="shared" si="5"/>
        <v>0</v>
      </c>
      <c r="R82" s="18" cm="1">
        <f t="array" ref="R82">SUMPRODUCT(ABS(F82:Q82-F81:Q81))</f>
        <v>0.66666666666666663</v>
      </c>
      <c r="S82" s="18" cm="1">
        <f t="array" ref="S82">SUMPRODUCT(ABS(G82:Q82-G81:Q81))</f>
        <v>0.66666666666666663</v>
      </c>
    </row>
    <row r="83" spans="1:19" x14ac:dyDescent="0.3">
      <c r="A83" s="2" t="s">
        <v>176</v>
      </c>
      <c r="B83" s="2">
        <v>8</v>
      </c>
      <c r="C83" s="2" t="s">
        <v>40</v>
      </c>
      <c r="D83" s="2" t="s">
        <v>177</v>
      </c>
      <c r="F83" s="17">
        <f t="shared" si="4"/>
        <v>0.33333333333333331</v>
      </c>
      <c r="G83" s="17">
        <f t="shared" si="5"/>
        <v>0</v>
      </c>
      <c r="H83" s="17">
        <f t="shared" si="5"/>
        <v>0</v>
      </c>
      <c r="I83" s="17">
        <f t="shared" si="5"/>
        <v>0</v>
      </c>
      <c r="J83" s="17">
        <f t="shared" si="5"/>
        <v>0</v>
      </c>
      <c r="K83" s="17">
        <f t="shared" si="5"/>
        <v>0</v>
      </c>
      <c r="L83" s="17">
        <f t="shared" si="5"/>
        <v>0.33333333333333331</v>
      </c>
      <c r="M83" s="17">
        <f t="shared" si="5"/>
        <v>0</v>
      </c>
      <c r="N83" s="17">
        <f t="shared" si="5"/>
        <v>0</v>
      </c>
      <c r="O83" s="17">
        <f t="shared" si="5"/>
        <v>0.33333333333333331</v>
      </c>
      <c r="P83" s="17">
        <f t="shared" si="5"/>
        <v>0</v>
      </c>
      <c r="Q83" s="17">
        <f t="shared" si="5"/>
        <v>0</v>
      </c>
      <c r="R83" s="18" cm="1">
        <f t="array" ref="R83">SUMPRODUCT(ABS(F83:Q83-F82:Q82))</f>
        <v>0.66666666666666663</v>
      </c>
      <c r="S83" s="18" cm="1">
        <f t="array" ref="S83">SUMPRODUCT(ABS(G83:Q83-G82:Q82))</f>
        <v>0.33333333333333331</v>
      </c>
    </row>
    <row r="84" spans="1:19" x14ac:dyDescent="0.3">
      <c r="A84" s="2" t="s">
        <v>178</v>
      </c>
      <c r="B84" s="2">
        <v>5</v>
      </c>
      <c r="C84" s="2" t="s">
        <v>174</v>
      </c>
      <c r="D84" s="2" t="s">
        <v>179</v>
      </c>
      <c r="F84" s="17">
        <f t="shared" si="4"/>
        <v>0</v>
      </c>
      <c r="G84" s="17">
        <f t="shared" si="5"/>
        <v>0</v>
      </c>
      <c r="H84" s="17">
        <f t="shared" si="5"/>
        <v>0.33333333333333331</v>
      </c>
      <c r="I84" s="17">
        <f t="shared" si="5"/>
        <v>0</v>
      </c>
      <c r="J84" s="17">
        <f t="shared" si="5"/>
        <v>0</v>
      </c>
      <c r="K84" s="17">
        <f t="shared" si="5"/>
        <v>0</v>
      </c>
      <c r="L84" s="17">
        <f t="shared" si="5"/>
        <v>0.33333333333333331</v>
      </c>
      <c r="M84" s="17">
        <f t="shared" si="5"/>
        <v>0</v>
      </c>
      <c r="N84" s="17">
        <f t="shared" si="5"/>
        <v>0</v>
      </c>
      <c r="O84" s="17">
        <f t="shared" si="5"/>
        <v>0.33333333333333331</v>
      </c>
      <c r="P84" s="17">
        <f t="shared" si="5"/>
        <v>0</v>
      </c>
      <c r="Q84" s="17">
        <f t="shared" si="5"/>
        <v>0</v>
      </c>
      <c r="R84" s="18" cm="1">
        <f t="array" ref="R84">SUMPRODUCT(ABS(F84:Q84-F83:Q83))</f>
        <v>0.66666666666666663</v>
      </c>
      <c r="S84" s="18" cm="1">
        <f t="array" ref="S84">SUMPRODUCT(ABS(G84:Q84-G83:Q83))</f>
        <v>0.33333333333333331</v>
      </c>
    </row>
    <row r="85" spans="1:19" x14ac:dyDescent="0.3">
      <c r="A85" s="2" t="s">
        <v>180</v>
      </c>
      <c r="B85" s="2">
        <v>1</v>
      </c>
      <c r="C85" s="2" t="s">
        <v>37</v>
      </c>
      <c r="D85" s="2" t="s">
        <v>181</v>
      </c>
      <c r="F85" s="17">
        <f t="shared" si="4"/>
        <v>0.66666666666666663</v>
      </c>
      <c r="G85" s="17">
        <f t="shared" si="5"/>
        <v>0</v>
      </c>
      <c r="H85" s="17">
        <f t="shared" si="5"/>
        <v>0</v>
      </c>
      <c r="I85" s="17">
        <f t="shared" si="5"/>
        <v>0</v>
      </c>
      <c r="J85" s="17">
        <f t="shared" si="5"/>
        <v>0</v>
      </c>
      <c r="K85" s="17">
        <f t="shared" si="5"/>
        <v>0</v>
      </c>
      <c r="L85" s="17">
        <f t="shared" si="5"/>
        <v>0</v>
      </c>
      <c r="M85" s="17">
        <f t="shared" si="5"/>
        <v>0</v>
      </c>
      <c r="N85" s="17">
        <f t="shared" si="5"/>
        <v>0</v>
      </c>
      <c r="O85" s="17">
        <f t="shared" si="5"/>
        <v>0.33333333333333331</v>
      </c>
      <c r="P85" s="17">
        <f t="shared" si="5"/>
        <v>0</v>
      </c>
      <c r="Q85" s="17">
        <f t="shared" si="5"/>
        <v>0</v>
      </c>
      <c r="R85" s="18" cm="1">
        <f t="array" ref="R85">SUMPRODUCT(ABS(F85:Q85-F84:Q84))</f>
        <v>1.3333333333333333</v>
      </c>
      <c r="S85" s="18" cm="1">
        <f t="array" ref="S85">SUMPRODUCT(ABS(G85:Q85-G84:Q84))</f>
        <v>0.66666666666666663</v>
      </c>
    </row>
    <row r="86" spans="1:19" x14ac:dyDescent="0.3">
      <c r="A86" s="2" t="s">
        <v>182</v>
      </c>
      <c r="B86" s="2">
        <v>30</v>
      </c>
      <c r="C86" s="2" t="s">
        <v>5</v>
      </c>
      <c r="D86" s="2" t="s">
        <v>183</v>
      </c>
      <c r="F86" s="17">
        <f t="shared" si="4"/>
        <v>1</v>
      </c>
      <c r="G86" s="17">
        <f t="shared" si="5"/>
        <v>0</v>
      </c>
      <c r="H86" s="17">
        <f t="shared" si="5"/>
        <v>0</v>
      </c>
      <c r="I86" s="17">
        <f t="shared" si="5"/>
        <v>0</v>
      </c>
      <c r="J86" s="17">
        <f t="shared" si="5"/>
        <v>0</v>
      </c>
      <c r="K86" s="17">
        <f t="shared" si="5"/>
        <v>0</v>
      </c>
      <c r="L86" s="17">
        <f t="shared" si="5"/>
        <v>0</v>
      </c>
      <c r="M86" s="17">
        <f t="shared" si="5"/>
        <v>0</v>
      </c>
      <c r="N86" s="17">
        <f t="shared" si="5"/>
        <v>0</v>
      </c>
      <c r="O86" s="17">
        <f t="shared" si="5"/>
        <v>0</v>
      </c>
      <c r="P86" s="17">
        <f t="shared" si="5"/>
        <v>0</v>
      </c>
      <c r="Q86" s="17">
        <f t="shared" si="5"/>
        <v>0</v>
      </c>
      <c r="R86" s="18" cm="1">
        <f t="array" ref="R86">SUMPRODUCT(ABS(F86:Q86-F85:Q85))</f>
        <v>0.66666666666666674</v>
      </c>
      <c r="S86" s="18" cm="1">
        <f t="array" ref="S86">SUMPRODUCT(ABS(G86:Q86-G85:Q85))</f>
        <v>0.33333333333333331</v>
      </c>
    </row>
    <row r="87" spans="1:19" x14ac:dyDescent="0.3">
      <c r="A87" s="2" t="s">
        <v>184</v>
      </c>
      <c r="B87" s="2">
        <v>1</v>
      </c>
      <c r="C87" s="2" t="s">
        <v>132</v>
      </c>
      <c r="D87" s="2" t="s">
        <v>136</v>
      </c>
      <c r="F87" s="17">
        <f t="shared" si="4"/>
        <v>0.66666666666666663</v>
      </c>
      <c r="G87" s="17">
        <f t="shared" si="5"/>
        <v>0</v>
      </c>
      <c r="H87" s="17">
        <f t="shared" si="5"/>
        <v>0</v>
      </c>
      <c r="I87" s="17">
        <f t="shared" si="5"/>
        <v>0</v>
      </c>
      <c r="J87" s="17">
        <f t="shared" si="5"/>
        <v>0</v>
      </c>
      <c r="K87" s="17">
        <f t="shared" si="5"/>
        <v>0</v>
      </c>
      <c r="L87" s="17">
        <f t="shared" si="5"/>
        <v>0</v>
      </c>
      <c r="M87" s="17">
        <f t="shared" si="5"/>
        <v>0</v>
      </c>
      <c r="N87" s="17">
        <f t="shared" si="5"/>
        <v>0</v>
      </c>
      <c r="O87" s="17">
        <f t="shared" si="5"/>
        <v>0</v>
      </c>
      <c r="P87" s="17">
        <f t="shared" si="5"/>
        <v>0.33333333333333331</v>
      </c>
      <c r="Q87" s="17">
        <f t="shared" si="5"/>
        <v>0</v>
      </c>
      <c r="R87" s="18" cm="1">
        <f t="array" ref="R87">SUMPRODUCT(ABS(F87:Q87-F86:Q86))</f>
        <v>0.66666666666666674</v>
      </c>
      <c r="S87" s="18" cm="1">
        <f t="array" ref="S87">SUMPRODUCT(ABS(G87:Q87-G86:Q86))</f>
        <v>0.33333333333333331</v>
      </c>
    </row>
    <row r="88" spans="1:19" x14ac:dyDescent="0.3">
      <c r="A88" s="2" t="s">
        <v>185</v>
      </c>
      <c r="B88" s="2">
        <v>2</v>
      </c>
      <c r="C88" s="2" t="s">
        <v>186</v>
      </c>
      <c r="D88" s="2" t="s">
        <v>25</v>
      </c>
      <c r="F88" s="17">
        <f t="shared" si="4"/>
        <v>0.33333333333333331</v>
      </c>
      <c r="G88" s="17">
        <f t="shared" si="5"/>
        <v>0</v>
      </c>
      <c r="H88" s="17">
        <f t="shared" si="5"/>
        <v>0</v>
      </c>
      <c r="I88" s="17">
        <f t="shared" si="5"/>
        <v>0</v>
      </c>
      <c r="J88" s="17">
        <f t="shared" si="5"/>
        <v>0</v>
      </c>
      <c r="K88" s="17">
        <f t="shared" si="5"/>
        <v>0</v>
      </c>
      <c r="L88" s="17">
        <f t="shared" si="5"/>
        <v>0</v>
      </c>
      <c r="M88" s="17">
        <f t="shared" si="5"/>
        <v>0</v>
      </c>
      <c r="N88" s="17">
        <f t="shared" si="5"/>
        <v>0</v>
      </c>
      <c r="O88" s="17">
        <f t="shared" si="5"/>
        <v>0.33333333333333331</v>
      </c>
      <c r="P88" s="17">
        <f t="shared" si="5"/>
        <v>0.33333333333333331</v>
      </c>
      <c r="Q88" s="17">
        <f t="shared" si="5"/>
        <v>0</v>
      </c>
      <c r="R88" s="18" cm="1">
        <f t="array" ref="R88">SUMPRODUCT(ABS(F88:Q88-F87:Q87))</f>
        <v>0.66666666666666663</v>
      </c>
      <c r="S88" s="18" cm="1">
        <f t="array" ref="S88">SUMPRODUCT(ABS(G88:Q88-G87:Q87))</f>
        <v>0.33333333333333331</v>
      </c>
    </row>
    <row r="89" spans="1:19" x14ac:dyDescent="0.3">
      <c r="A89" s="2" t="s">
        <v>187</v>
      </c>
      <c r="B89" s="2">
        <v>16</v>
      </c>
      <c r="C89" s="2" t="s">
        <v>188</v>
      </c>
      <c r="D89" s="2" t="s">
        <v>28</v>
      </c>
      <c r="F89" s="17">
        <f t="shared" si="4"/>
        <v>0</v>
      </c>
      <c r="G89" s="17">
        <f t="shared" si="5"/>
        <v>0</v>
      </c>
      <c r="H89" s="17">
        <f t="shared" si="5"/>
        <v>0</v>
      </c>
      <c r="I89" s="17">
        <f t="shared" si="5"/>
        <v>0</v>
      </c>
      <c r="J89" s="17">
        <f t="shared" si="5"/>
        <v>0</v>
      </c>
      <c r="K89" s="17">
        <f t="shared" si="5"/>
        <v>0</v>
      </c>
      <c r="L89" s="17">
        <f t="shared" si="5"/>
        <v>0.33333333333333331</v>
      </c>
      <c r="M89" s="17">
        <f t="shared" si="5"/>
        <v>0</v>
      </c>
      <c r="N89" s="17">
        <f t="shared" si="5"/>
        <v>0</v>
      </c>
      <c r="O89" s="17">
        <f t="shared" si="5"/>
        <v>0.33333333333333331</v>
      </c>
      <c r="P89" s="17">
        <f t="shared" si="5"/>
        <v>0.33333333333333331</v>
      </c>
      <c r="Q89" s="17">
        <f t="shared" si="5"/>
        <v>0</v>
      </c>
      <c r="R89" s="18" cm="1">
        <f t="array" ref="R89">SUMPRODUCT(ABS(F89:Q89-F88:Q88))</f>
        <v>0.66666666666666663</v>
      </c>
      <c r="S89" s="18" cm="1">
        <f t="array" ref="S89">SUMPRODUCT(ABS(G89:Q89-G88:Q88))</f>
        <v>0.33333333333333331</v>
      </c>
    </row>
    <row r="90" spans="1:19" x14ac:dyDescent="0.3">
      <c r="A90" s="2" t="s">
        <v>189</v>
      </c>
      <c r="B90" s="2">
        <v>2</v>
      </c>
      <c r="C90" s="2" t="s">
        <v>129</v>
      </c>
      <c r="D90" s="2" t="s">
        <v>15</v>
      </c>
      <c r="F90" s="17">
        <f t="shared" si="4"/>
        <v>0.33333333333333331</v>
      </c>
      <c r="G90" s="17">
        <f t="shared" si="5"/>
        <v>0</v>
      </c>
      <c r="H90" s="17">
        <f t="shared" si="5"/>
        <v>0</v>
      </c>
      <c r="I90" s="17">
        <f t="shared" si="5"/>
        <v>0</v>
      </c>
      <c r="J90" s="17">
        <f t="shared" si="5"/>
        <v>0</v>
      </c>
      <c r="K90" s="17">
        <f t="shared" si="5"/>
        <v>0</v>
      </c>
      <c r="L90" s="17">
        <f t="shared" si="5"/>
        <v>0.33333333333333331</v>
      </c>
      <c r="M90" s="17">
        <f t="shared" si="5"/>
        <v>0</v>
      </c>
      <c r="N90" s="17">
        <f t="shared" si="5"/>
        <v>0</v>
      </c>
      <c r="O90" s="17">
        <f t="shared" si="5"/>
        <v>0</v>
      </c>
      <c r="P90" s="17">
        <f t="shared" si="5"/>
        <v>0.33333333333333331</v>
      </c>
      <c r="Q90" s="17">
        <f t="shared" si="5"/>
        <v>0</v>
      </c>
      <c r="R90" s="18" cm="1">
        <f t="array" ref="R90">SUMPRODUCT(ABS(F90:Q90-F89:Q89))</f>
        <v>0.66666666666666663</v>
      </c>
      <c r="S90" s="18" cm="1">
        <f t="array" ref="S90">SUMPRODUCT(ABS(G90:Q90-G89:Q89))</f>
        <v>0.33333333333333331</v>
      </c>
    </row>
    <row r="91" spans="1:19" x14ac:dyDescent="0.3">
      <c r="A91" s="2" t="s">
        <v>190</v>
      </c>
      <c r="B91" s="2">
        <v>23</v>
      </c>
      <c r="C91" s="2" t="s">
        <v>191</v>
      </c>
      <c r="D91" s="2" t="s">
        <v>179</v>
      </c>
      <c r="F91" s="17">
        <f t="shared" si="4"/>
        <v>0</v>
      </c>
      <c r="G91" s="17">
        <f t="shared" si="5"/>
        <v>0</v>
      </c>
      <c r="H91" s="17">
        <f t="shared" si="5"/>
        <v>0.33333333333333331</v>
      </c>
      <c r="I91" s="17">
        <f t="shared" si="5"/>
        <v>0</v>
      </c>
      <c r="J91" s="17">
        <f t="shared" si="5"/>
        <v>0</v>
      </c>
      <c r="K91" s="17">
        <f t="shared" si="5"/>
        <v>0</v>
      </c>
      <c r="L91" s="17">
        <f t="shared" si="5"/>
        <v>0.33333333333333331</v>
      </c>
      <c r="M91" s="17">
        <f t="shared" si="5"/>
        <v>0</v>
      </c>
      <c r="N91" s="17">
        <f t="shared" si="5"/>
        <v>0</v>
      </c>
      <c r="O91" s="17">
        <f t="shared" si="5"/>
        <v>0</v>
      </c>
      <c r="P91" s="17">
        <f t="shared" si="5"/>
        <v>0.33333333333333331</v>
      </c>
      <c r="Q91" s="17">
        <f t="shared" si="5"/>
        <v>0</v>
      </c>
      <c r="R91" s="18" cm="1">
        <f t="array" ref="R91">SUMPRODUCT(ABS(F91:Q91-F90:Q90))</f>
        <v>0.66666666666666663</v>
      </c>
      <c r="S91" s="18" cm="1">
        <f t="array" ref="S91">SUMPRODUCT(ABS(G91:Q91-G90:Q90))</f>
        <v>0.33333333333333331</v>
      </c>
    </row>
    <row r="92" spans="1:19" x14ac:dyDescent="0.3">
      <c r="A92" s="2" t="s">
        <v>192</v>
      </c>
      <c r="B92" s="2">
        <v>11</v>
      </c>
      <c r="C92" s="2" t="s">
        <v>169</v>
      </c>
      <c r="D92" s="2" t="s">
        <v>193</v>
      </c>
      <c r="F92" s="17">
        <f t="shared" si="4"/>
        <v>0.33333333333333331</v>
      </c>
      <c r="G92" s="17">
        <f t="shared" si="5"/>
        <v>0</v>
      </c>
      <c r="H92" s="17">
        <f t="shared" si="5"/>
        <v>0.33333333333333331</v>
      </c>
      <c r="I92" s="17">
        <f t="shared" si="5"/>
        <v>0</v>
      </c>
      <c r="J92" s="17">
        <f t="shared" si="5"/>
        <v>0</v>
      </c>
      <c r="K92" s="17">
        <f t="shared" si="5"/>
        <v>0</v>
      </c>
      <c r="L92" s="17">
        <f t="shared" si="5"/>
        <v>0.33333333333333331</v>
      </c>
      <c r="M92" s="17">
        <f t="shared" si="5"/>
        <v>0</v>
      </c>
      <c r="N92" s="17">
        <f t="shared" si="5"/>
        <v>0</v>
      </c>
      <c r="O92" s="17">
        <f t="shared" si="5"/>
        <v>0</v>
      </c>
      <c r="P92" s="17">
        <f t="shared" si="5"/>
        <v>0</v>
      </c>
      <c r="Q92" s="17">
        <f t="shared" si="5"/>
        <v>0</v>
      </c>
      <c r="R92" s="18" cm="1">
        <f t="array" ref="R92">SUMPRODUCT(ABS(F92:Q92-F91:Q91))</f>
        <v>0.66666666666666663</v>
      </c>
      <c r="S92" s="18" cm="1">
        <f t="array" ref="S92">SUMPRODUCT(ABS(G92:Q92-G91:Q91))</f>
        <v>0.33333333333333331</v>
      </c>
    </row>
    <row r="93" spans="1:19" x14ac:dyDescent="0.3">
      <c r="A93" s="2" t="s">
        <v>194</v>
      </c>
      <c r="B93" s="2">
        <v>9</v>
      </c>
      <c r="C93" s="2" t="s">
        <v>43</v>
      </c>
      <c r="D93" s="2" t="s">
        <v>195</v>
      </c>
      <c r="F93" s="17">
        <f t="shared" si="4"/>
        <v>0.66666666666666663</v>
      </c>
      <c r="G93" s="17">
        <f t="shared" si="5"/>
        <v>0</v>
      </c>
      <c r="H93" s="17">
        <f t="shared" si="5"/>
        <v>0</v>
      </c>
      <c r="I93" s="17">
        <f t="shared" si="5"/>
        <v>0</v>
      </c>
      <c r="J93" s="17">
        <f t="shared" si="5"/>
        <v>0</v>
      </c>
      <c r="K93" s="17">
        <f t="shared" si="5"/>
        <v>0</v>
      </c>
      <c r="L93" s="17">
        <f t="shared" si="5"/>
        <v>0.33333333333333331</v>
      </c>
      <c r="M93" s="17">
        <f t="shared" si="5"/>
        <v>0</v>
      </c>
      <c r="N93" s="17">
        <f t="shared" si="5"/>
        <v>0</v>
      </c>
      <c r="O93" s="17">
        <f t="shared" si="5"/>
        <v>0</v>
      </c>
      <c r="P93" s="17">
        <f t="shared" si="5"/>
        <v>0</v>
      </c>
      <c r="Q93" s="17">
        <f t="shared" si="5"/>
        <v>0</v>
      </c>
      <c r="R93" s="18" cm="1">
        <f t="array" ref="R93">SUMPRODUCT(ABS(F93:Q93-F92:Q92))</f>
        <v>0.66666666666666663</v>
      </c>
      <c r="S93" s="18" cm="1">
        <f t="array" ref="S93">SUMPRODUCT(ABS(G93:Q93-G92:Q92))</f>
        <v>0.33333333333333331</v>
      </c>
    </row>
    <row r="94" spans="1:19" x14ac:dyDescent="0.3">
      <c r="A94" s="2" t="s">
        <v>196</v>
      </c>
      <c r="B94" s="2">
        <v>3</v>
      </c>
      <c r="C94" s="2" t="s">
        <v>169</v>
      </c>
      <c r="D94" s="2" t="s">
        <v>170</v>
      </c>
      <c r="F94" s="17">
        <f t="shared" si="4"/>
        <v>0.33333333333333331</v>
      </c>
      <c r="G94" s="17">
        <f t="shared" si="5"/>
        <v>0</v>
      </c>
      <c r="H94" s="17">
        <f t="shared" si="5"/>
        <v>0.33333333333333331</v>
      </c>
      <c r="I94" s="17">
        <f t="shared" si="5"/>
        <v>0</v>
      </c>
      <c r="J94" s="17">
        <f t="shared" si="5"/>
        <v>0</v>
      </c>
      <c r="K94" s="17">
        <f t="shared" si="5"/>
        <v>0</v>
      </c>
      <c r="L94" s="17">
        <f t="shared" si="5"/>
        <v>0.33333333333333331</v>
      </c>
      <c r="M94" s="17">
        <f t="shared" si="5"/>
        <v>0</v>
      </c>
      <c r="N94" s="17">
        <f t="shared" si="5"/>
        <v>0</v>
      </c>
      <c r="O94" s="17">
        <f t="shared" si="5"/>
        <v>0</v>
      </c>
      <c r="P94" s="17">
        <f t="shared" si="5"/>
        <v>0</v>
      </c>
      <c r="Q94" s="17">
        <f t="shared" si="5"/>
        <v>0</v>
      </c>
      <c r="R94" s="18" cm="1">
        <f t="array" ref="R94">SUMPRODUCT(ABS(F94:Q94-F93:Q93))</f>
        <v>0.66666666666666663</v>
      </c>
      <c r="S94" s="18" cm="1">
        <f t="array" ref="S94">SUMPRODUCT(ABS(G94:Q94-G93:Q93))</f>
        <v>0.33333333333333331</v>
      </c>
    </row>
    <row r="95" spans="1:19" x14ac:dyDescent="0.3">
      <c r="A95" s="2" t="s">
        <v>197</v>
      </c>
      <c r="B95" s="2">
        <v>38</v>
      </c>
      <c r="C95" s="2" t="s">
        <v>191</v>
      </c>
      <c r="D95" s="2" t="s">
        <v>127</v>
      </c>
      <c r="F95" s="17">
        <f t="shared" si="4"/>
        <v>0</v>
      </c>
      <c r="G95" s="17">
        <f t="shared" si="5"/>
        <v>0</v>
      </c>
      <c r="H95" s="17">
        <f t="shared" si="5"/>
        <v>0.33333333333333331</v>
      </c>
      <c r="I95" s="17">
        <f t="shared" si="5"/>
        <v>0</v>
      </c>
      <c r="J95" s="17">
        <f t="shared" si="5"/>
        <v>0</v>
      </c>
      <c r="K95" s="17">
        <f t="shared" si="5"/>
        <v>0</v>
      </c>
      <c r="L95" s="17">
        <f t="shared" si="5"/>
        <v>0.33333333333333331</v>
      </c>
      <c r="M95" s="17">
        <f t="shared" si="5"/>
        <v>0</v>
      </c>
      <c r="N95" s="17">
        <f t="shared" si="5"/>
        <v>0</v>
      </c>
      <c r="O95" s="17">
        <f t="shared" si="5"/>
        <v>0</v>
      </c>
      <c r="P95" s="17">
        <f t="shared" si="5"/>
        <v>0.33333333333333331</v>
      </c>
      <c r="Q95" s="17">
        <f t="shared" si="5"/>
        <v>0</v>
      </c>
      <c r="R95" s="18" cm="1">
        <f t="array" ref="R95">SUMPRODUCT(ABS(F95:Q95-F94:Q94))</f>
        <v>0.66666666666666663</v>
      </c>
      <c r="S95" s="18" cm="1">
        <f t="array" ref="S95">SUMPRODUCT(ABS(G95:Q95-G94:Q94))</f>
        <v>0.33333333333333331</v>
      </c>
    </row>
    <row r="96" spans="1:19" x14ac:dyDescent="0.3">
      <c r="A96" s="2" t="s">
        <v>198</v>
      </c>
      <c r="B96" s="2">
        <v>22</v>
      </c>
      <c r="C96" s="2" t="s">
        <v>169</v>
      </c>
      <c r="D96" s="2" t="s">
        <v>193</v>
      </c>
      <c r="F96" s="17">
        <f t="shared" si="4"/>
        <v>0.33333333333333331</v>
      </c>
      <c r="G96" s="17">
        <f t="shared" si="5"/>
        <v>0</v>
      </c>
      <c r="H96" s="17">
        <f t="shared" si="5"/>
        <v>0.33333333333333331</v>
      </c>
      <c r="I96" s="17">
        <f t="shared" si="5"/>
        <v>0</v>
      </c>
      <c r="J96" s="17">
        <f t="shared" si="5"/>
        <v>0</v>
      </c>
      <c r="K96" s="17">
        <f t="shared" si="5"/>
        <v>0</v>
      </c>
      <c r="L96" s="17">
        <f t="shared" si="5"/>
        <v>0.33333333333333331</v>
      </c>
      <c r="M96" s="17">
        <f t="shared" si="5"/>
        <v>0</v>
      </c>
      <c r="N96" s="17">
        <f t="shared" si="5"/>
        <v>0</v>
      </c>
      <c r="O96" s="17">
        <f t="shared" si="5"/>
        <v>0</v>
      </c>
      <c r="P96" s="17">
        <f t="shared" si="5"/>
        <v>0</v>
      </c>
      <c r="Q96" s="17">
        <f t="shared" si="5"/>
        <v>0</v>
      </c>
      <c r="R96" s="18" cm="1">
        <f t="array" ref="R96">SUMPRODUCT(ABS(F96:Q96-F95:Q95))</f>
        <v>0.66666666666666663</v>
      </c>
      <c r="S96" s="18" cm="1">
        <f t="array" ref="S96">SUMPRODUCT(ABS(G96:Q96-G95:Q95))</f>
        <v>0.33333333333333331</v>
      </c>
    </row>
    <row r="97" spans="1:19" x14ac:dyDescent="0.3">
      <c r="A97" s="2" t="s">
        <v>199</v>
      </c>
      <c r="B97" s="2">
        <v>14</v>
      </c>
      <c r="C97" s="2" t="s">
        <v>200</v>
      </c>
      <c r="D97" s="2" t="s">
        <v>12</v>
      </c>
      <c r="F97" s="17">
        <f t="shared" si="4"/>
        <v>0</v>
      </c>
      <c r="G97" s="17">
        <f t="shared" si="5"/>
        <v>0</v>
      </c>
      <c r="H97" s="17">
        <f t="shared" si="5"/>
        <v>0.33333333333333331</v>
      </c>
      <c r="I97" s="17">
        <f t="shared" si="5"/>
        <v>0</v>
      </c>
      <c r="J97" s="17">
        <f t="shared" si="5"/>
        <v>0</v>
      </c>
      <c r="K97" s="17">
        <f t="shared" si="5"/>
        <v>0</v>
      </c>
      <c r="L97" s="17">
        <f t="shared" si="5"/>
        <v>0.33333333333333331</v>
      </c>
      <c r="M97" s="17">
        <f t="shared" si="5"/>
        <v>0</v>
      </c>
      <c r="N97" s="17">
        <f t="shared" si="5"/>
        <v>0</v>
      </c>
      <c r="O97" s="17">
        <f t="shared" si="5"/>
        <v>0</v>
      </c>
      <c r="P97" s="17">
        <f t="shared" si="5"/>
        <v>0</v>
      </c>
      <c r="Q97" s="17">
        <f t="shared" si="5"/>
        <v>0.33333333333333331</v>
      </c>
      <c r="R97" s="18" cm="1">
        <f t="array" ref="R97">SUMPRODUCT(ABS(F97:Q97-F96:Q96))</f>
        <v>0.66666666666666663</v>
      </c>
      <c r="S97" s="18" cm="1">
        <f t="array" ref="S97">SUMPRODUCT(ABS(G97:Q97-G96:Q96))</f>
        <v>0.33333333333333331</v>
      </c>
    </row>
    <row r="98" spans="1:19" x14ac:dyDescent="0.3">
      <c r="A98" s="2" t="s">
        <v>201</v>
      </c>
      <c r="B98" s="2">
        <v>34</v>
      </c>
      <c r="C98" s="2" t="s">
        <v>202</v>
      </c>
      <c r="D98" s="2" t="s">
        <v>203</v>
      </c>
      <c r="F98" s="17">
        <f t="shared" si="4"/>
        <v>0.66666666666666663</v>
      </c>
      <c r="G98" s="17">
        <f t="shared" si="5"/>
        <v>0</v>
      </c>
      <c r="H98" s="17">
        <f t="shared" si="5"/>
        <v>0.33333333333333331</v>
      </c>
      <c r="I98" s="17">
        <f t="shared" si="5"/>
        <v>0</v>
      </c>
      <c r="J98" s="17">
        <f t="shared" si="5"/>
        <v>0</v>
      </c>
      <c r="K98" s="17">
        <f t="shared" si="5"/>
        <v>0</v>
      </c>
      <c r="L98" s="17">
        <f t="shared" si="5"/>
        <v>0</v>
      </c>
      <c r="M98" s="17">
        <f t="shared" si="5"/>
        <v>0</v>
      </c>
      <c r="N98" s="17">
        <f t="shared" si="5"/>
        <v>0</v>
      </c>
      <c r="O98" s="17">
        <f t="shared" si="5"/>
        <v>0</v>
      </c>
      <c r="P98" s="17">
        <f t="shared" si="5"/>
        <v>0</v>
      </c>
      <c r="Q98" s="17">
        <f t="shared" si="5"/>
        <v>0</v>
      </c>
      <c r="R98" s="18" cm="1">
        <f t="array" ref="R98">SUMPRODUCT(ABS(F98:Q98-F97:Q97))</f>
        <v>1.3333333333333333</v>
      </c>
      <c r="S98" s="18" cm="1">
        <f t="array" ref="S98">SUMPRODUCT(ABS(G98:Q98-G97:Q97))</f>
        <v>0.66666666666666663</v>
      </c>
    </row>
    <row r="99" spans="1:19" x14ac:dyDescent="0.3">
      <c r="A99" s="2" t="s">
        <v>204</v>
      </c>
      <c r="B99" s="2">
        <v>17</v>
      </c>
      <c r="C99" s="2" t="s">
        <v>200</v>
      </c>
      <c r="D99" s="2" t="s">
        <v>205</v>
      </c>
      <c r="F99" s="17">
        <f t="shared" si="4"/>
        <v>0</v>
      </c>
      <c r="G99" s="17">
        <f t="shared" si="5"/>
        <v>0</v>
      </c>
      <c r="H99" s="17">
        <f t="shared" si="5"/>
        <v>0.33333333333333331</v>
      </c>
      <c r="I99" s="17">
        <f t="shared" si="5"/>
        <v>0</v>
      </c>
      <c r="J99" s="17">
        <f t="shared" si="5"/>
        <v>0</v>
      </c>
      <c r="K99" s="17">
        <f t="shared" si="5"/>
        <v>0</v>
      </c>
      <c r="L99" s="17">
        <f t="shared" si="5"/>
        <v>0.33333333333333331</v>
      </c>
      <c r="M99" s="17">
        <f t="shared" si="5"/>
        <v>0</v>
      </c>
      <c r="N99" s="17">
        <f t="shared" si="5"/>
        <v>0</v>
      </c>
      <c r="O99" s="17">
        <f t="shared" si="5"/>
        <v>0</v>
      </c>
      <c r="P99" s="17">
        <f t="shared" si="5"/>
        <v>0</v>
      </c>
      <c r="Q99" s="17">
        <f t="shared" si="5"/>
        <v>0.33333333333333331</v>
      </c>
      <c r="R99" s="18" cm="1">
        <f t="array" ref="R99">SUMPRODUCT(ABS(F99:Q99-F98:Q98))</f>
        <v>1.3333333333333333</v>
      </c>
      <c r="S99" s="18" cm="1">
        <f t="array" ref="S99">SUMPRODUCT(ABS(G99:Q99-G98:Q98))</f>
        <v>0.66666666666666663</v>
      </c>
    </row>
    <row r="100" spans="1:19" x14ac:dyDescent="0.3">
      <c r="A100" s="2" t="s">
        <v>206</v>
      </c>
      <c r="B100" s="2">
        <v>9</v>
      </c>
      <c r="C100" s="2" t="s">
        <v>121</v>
      </c>
      <c r="D100" s="2" t="s">
        <v>177</v>
      </c>
      <c r="F100" s="17">
        <f t="shared" si="4"/>
        <v>0.33333333333333331</v>
      </c>
      <c r="G100" s="17">
        <f t="shared" si="5"/>
        <v>0</v>
      </c>
      <c r="H100" s="17">
        <f t="shared" si="5"/>
        <v>0</v>
      </c>
      <c r="I100" s="17">
        <f t="shared" si="5"/>
        <v>0</v>
      </c>
      <c r="J100" s="17">
        <f t="shared" si="5"/>
        <v>0</v>
      </c>
      <c r="K100" s="17">
        <f t="shared" si="5"/>
        <v>0</v>
      </c>
      <c r="L100" s="17">
        <f t="shared" si="5"/>
        <v>0.33333333333333331</v>
      </c>
      <c r="M100" s="17">
        <f t="shared" si="5"/>
        <v>0</v>
      </c>
      <c r="N100" s="17">
        <f t="shared" si="5"/>
        <v>0</v>
      </c>
      <c r="O100" s="17">
        <f t="shared" si="5"/>
        <v>0</v>
      </c>
      <c r="P100" s="17">
        <f t="shared" si="5"/>
        <v>0</v>
      </c>
      <c r="Q100" s="17">
        <f t="shared" si="5"/>
        <v>0.33333333333333331</v>
      </c>
      <c r="R100" s="18" cm="1">
        <f t="array" ref="R100">SUMPRODUCT(ABS(F100:Q100-F99:Q99))</f>
        <v>0.66666666666666663</v>
      </c>
      <c r="S100" s="18" cm="1">
        <f t="array" ref="S100">SUMPRODUCT(ABS(G100:Q100-G99:Q99))</f>
        <v>0.33333333333333331</v>
      </c>
    </row>
    <row r="101" spans="1:19" x14ac:dyDescent="0.3">
      <c r="A101" s="2" t="s">
        <v>207</v>
      </c>
      <c r="B101" s="2">
        <v>26</v>
      </c>
      <c r="C101" s="2" t="s">
        <v>200</v>
      </c>
      <c r="D101" s="2" t="s">
        <v>179</v>
      </c>
      <c r="F101" s="17">
        <f t="shared" si="4"/>
        <v>0</v>
      </c>
      <c r="G101" s="17">
        <f t="shared" si="5"/>
        <v>0</v>
      </c>
      <c r="H101" s="17">
        <f t="shared" si="5"/>
        <v>0.33333333333333331</v>
      </c>
      <c r="I101" s="17">
        <f t="shared" si="5"/>
        <v>0</v>
      </c>
      <c r="J101" s="17">
        <f t="shared" si="5"/>
        <v>0</v>
      </c>
      <c r="K101" s="17">
        <f t="shared" si="5"/>
        <v>0</v>
      </c>
      <c r="L101" s="17">
        <f t="shared" si="5"/>
        <v>0.33333333333333331</v>
      </c>
      <c r="M101" s="17">
        <f t="shared" si="5"/>
        <v>0</v>
      </c>
      <c r="N101" s="17">
        <f t="shared" si="5"/>
        <v>0</v>
      </c>
      <c r="O101" s="17">
        <f t="shared" si="5"/>
        <v>0</v>
      </c>
      <c r="P101" s="17">
        <f t="shared" si="5"/>
        <v>0</v>
      </c>
      <c r="Q101" s="17">
        <f t="shared" si="5"/>
        <v>0.33333333333333331</v>
      </c>
      <c r="R101" s="18" cm="1">
        <f t="array" ref="R101">SUMPRODUCT(ABS(F101:Q101-F100:Q100))</f>
        <v>0.66666666666666663</v>
      </c>
      <c r="S101" s="18" cm="1">
        <f t="array" ref="S101">SUMPRODUCT(ABS(G101:Q101-G100:Q100))</f>
        <v>0.33333333333333331</v>
      </c>
    </row>
    <row r="102" spans="1:19" x14ac:dyDescent="0.3">
      <c r="A102" s="2" t="s">
        <v>208</v>
      </c>
      <c r="B102" s="2">
        <v>4</v>
      </c>
      <c r="C102" s="2" t="s">
        <v>202</v>
      </c>
      <c r="D102" s="2" t="s">
        <v>203</v>
      </c>
      <c r="F102" s="17">
        <f t="shared" si="4"/>
        <v>0.66666666666666663</v>
      </c>
      <c r="G102" s="17">
        <f t="shared" si="5"/>
        <v>0</v>
      </c>
      <c r="H102" s="17">
        <f t="shared" si="5"/>
        <v>0.33333333333333331</v>
      </c>
      <c r="I102" s="17">
        <f t="shared" si="5"/>
        <v>0</v>
      </c>
      <c r="J102" s="17">
        <f t="shared" si="5"/>
        <v>0</v>
      </c>
      <c r="K102" s="17">
        <f t="shared" si="5"/>
        <v>0</v>
      </c>
      <c r="L102" s="17">
        <f t="shared" si="5"/>
        <v>0</v>
      </c>
      <c r="M102" s="17">
        <f t="shared" si="5"/>
        <v>0</v>
      </c>
      <c r="N102" s="17">
        <f t="shared" si="5"/>
        <v>0</v>
      </c>
      <c r="O102" s="17">
        <f t="shared" si="5"/>
        <v>0</v>
      </c>
      <c r="P102" s="17">
        <f t="shared" si="5"/>
        <v>0</v>
      </c>
      <c r="Q102" s="17">
        <f t="shared" si="5"/>
        <v>0</v>
      </c>
      <c r="R102" s="18" cm="1">
        <f t="array" ref="R102">SUMPRODUCT(ABS(F102:Q102-F101:Q101))</f>
        <v>1.3333333333333333</v>
      </c>
      <c r="S102" s="18" cm="1">
        <f t="array" ref="S102">SUMPRODUCT(ABS(G102:Q102-G101:Q101))</f>
        <v>0.66666666666666663</v>
      </c>
    </row>
    <row r="103" spans="1:19" x14ac:dyDescent="0.3">
      <c r="A103" s="2" t="s">
        <v>209</v>
      </c>
      <c r="B103" s="2">
        <v>6</v>
      </c>
      <c r="C103" s="2" t="s">
        <v>210</v>
      </c>
      <c r="D103" s="2" t="s">
        <v>71</v>
      </c>
      <c r="F103" s="17">
        <f t="shared" si="4"/>
        <v>0.33333333333333331</v>
      </c>
      <c r="G103" s="17">
        <f t="shared" si="5"/>
        <v>0.33333333333333331</v>
      </c>
      <c r="H103" s="17">
        <f t="shared" si="5"/>
        <v>0.33333333333333331</v>
      </c>
      <c r="I103" s="17">
        <f t="shared" si="5"/>
        <v>0</v>
      </c>
      <c r="J103" s="17">
        <f t="shared" si="5"/>
        <v>0</v>
      </c>
      <c r="K103" s="17">
        <f t="shared" si="5"/>
        <v>0</v>
      </c>
      <c r="L103" s="17">
        <f t="shared" si="5"/>
        <v>0</v>
      </c>
      <c r="M103" s="17">
        <f t="shared" si="5"/>
        <v>0</v>
      </c>
      <c r="N103" s="17">
        <f t="shared" si="5"/>
        <v>0</v>
      </c>
      <c r="O103" s="17">
        <f t="shared" si="5"/>
        <v>0</v>
      </c>
      <c r="P103" s="17">
        <f t="shared" si="5"/>
        <v>0</v>
      </c>
      <c r="Q103" s="17">
        <f t="shared" si="5"/>
        <v>0</v>
      </c>
      <c r="R103" s="18" cm="1">
        <f t="array" ref="R103">SUMPRODUCT(ABS(F103:Q103-F102:Q102))</f>
        <v>0.66666666666666663</v>
      </c>
      <c r="S103" s="18" cm="1">
        <f t="array" ref="S103">SUMPRODUCT(ABS(G103:Q103-G102:Q102))</f>
        <v>0.33333333333333331</v>
      </c>
    </row>
    <row r="104" spans="1:19" x14ac:dyDescent="0.3">
      <c r="A104" s="2" t="s">
        <v>211</v>
      </c>
      <c r="B104" s="2">
        <v>11</v>
      </c>
      <c r="C104" s="2" t="s">
        <v>74</v>
      </c>
      <c r="D104" s="2" t="s">
        <v>195</v>
      </c>
      <c r="F104" s="17">
        <f t="shared" si="4"/>
        <v>0.66666666666666663</v>
      </c>
      <c r="G104" s="17">
        <f t="shared" si="5"/>
        <v>0.33333333333333331</v>
      </c>
      <c r="H104" s="17">
        <f t="shared" si="5"/>
        <v>0</v>
      </c>
      <c r="I104" s="17">
        <f t="shared" si="5"/>
        <v>0</v>
      </c>
      <c r="J104" s="17">
        <f t="shared" si="5"/>
        <v>0</v>
      </c>
      <c r="K104" s="17">
        <f t="shared" si="5"/>
        <v>0</v>
      </c>
      <c r="L104" s="17">
        <f t="shared" si="5"/>
        <v>0</v>
      </c>
      <c r="M104" s="17">
        <f t="shared" si="5"/>
        <v>0</v>
      </c>
      <c r="N104" s="17">
        <f t="shared" si="5"/>
        <v>0</v>
      </c>
      <c r="O104" s="17">
        <f t="shared" si="5"/>
        <v>0</v>
      </c>
      <c r="P104" s="17">
        <f t="shared" si="5"/>
        <v>0</v>
      </c>
      <c r="Q104" s="17">
        <f t="shared" si="5"/>
        <v>0</v>
      </c>
      <c r="R104" s="18" cm="1">
        <f t="array" ref="R104">SUMPRODUCT(ABS(F104:Q104-F103:Q103))</f>
        <v>0.66666666666666663</v>
      </c>
      <c r="S104" s="18" cm="1">
        <f t="array" ref="S104">SUMPRODUCT(ABS(G104:Q104-G103:Q103))</f>
        <v>0.33333333333333331</v>
      </c>
    </row>
    <row r="105" spans="1:19" x14ac:dyDescent="0.3">
      <c r="A105" s="2" t="s">
        <v>212</v>
      </c>
      <c r="B105" s="2">
        <v>2</v>
      </c>
      <c r="C105" s="2" t="s">
        <v>213</v>
      </c>
      <c r="D105" s="2" t="s">
        <v>214</v>
      </c>
      <c r="F105" s="17">
        <f t="shared" si="4"/>
        <v>0.33333333333333331</v>
      </c>
      <c r="G105" s="17">
        <f t="shared" si="5"/>
        <v>0.33333333333333331</v>
      </c>
      <c r="H105" s="17">
        <f t="shared" si="5"/>
        <v>0</v>
      </c>
      <c r="I105" s="17">
        <f t="shared" si="5"/>
        <v>0</v>
      </c>
      <c r="J105" s="17">
        <f t="shared" si="5"/>
        <v>0</v>
      </c>
      <c r="K105" s="17">
        <f t="shared" si="5"/>
        <v>0</v>
      </c>
      <c r="L105" s="17">
        <f t="shared" si="5"/>
        <v>0</v>
      </c>
      <c r="M105" s="17">
        <f t="shared" ref="G105:Q168" si="6">_xlfn.LET(_xlpm.t," "&amp;$C105&amp;" ",_xlpm.p,SEARCH(" "&amp;M$1&amp;" ",_xlpm.t),IFERROR(ROUND(VALUE(MID(_xlpm.t,_xlpm.p+LEN(M$1)+2,FIND("%",_xlpm.t,_xlpm.p)-_xlpm.p-LEN(M$1)-2))*3/100,0)/3,0))</f>
        <v>0</v>
      </c>
      <c r="N105" s="17">
        <f t="shared" si="6"/>
        <v>0</v>
      </c>
      <c r="O105" s="17">
        <f t="shared" si="6"/>
        <v>0</v>
      </c>
      <c r="P105" s="17">
        <f t="shared" si="6"/>
        <v>0</v>
      </c>
      <c r="Q105" s="17">
        <f t="shared" si="6"/>
        <v>0.33333333333333331</v>
      </c>
      <c r="R105" s="18" cm="1">
        <f t="array" ref="R105">SUMPRODUCT(ABS(F105:Q105-F104:Q104))</f>
        <v>0.66666666666666663</v>
      </c>
      <c r="S105" s="18" cm="1">
        <f t="array" ref="S105">SUMPRODUCT(ABS(G105:Q105-G104:Q104))</f>
        <v>0.33333333333333331</v>
      </c>
    </row>
    <row r="106" spans="1:19" x14ac:dyDescent="0.3">
      <c r="A106" s="2" t="s">
        <v>215</v>
      </c>
      <c r="B106" s="2">
        <v>6</v>
      </c>
      <c r="C106" s="2" t="s">
        <v>216</v>
      </c>
      <c r="D106" s="2" t="s">
        <v>179</v>
      </c>
      <c r="F106" s="17">
        <f t="shared" si="4"/>
        <v>0</v>
      </c>
      <c r="G106" s="17">
        <f t="shared" si="6"/>
        <v>0.33333333333333331</v>
      </c>
      <c r="H106" s="17">
        <f t="shared" si="6"/>
        <v>0.33333333333333331</v>
      </c>
      <c r="I106" s="17">
        <f t="shared" si="6"/>
        <v>0</v>
      </c>
      <c r="J106" s="17">
        <f t="shared" si="6"/>
        <v>0</v>
      </c>
      <c r="K106" s="17">
        <f t="shared" si="6"/>
        <v>0</v>
      </c>
      <c r="L106" s="17">
        <f t="shared" si="6"/>
        <v>0</v>
      </c>
      <c r="M106" s="17">
        <f t="shared" si="6"/>
        <v>0</v>
      </c>
      <c r="N106" s="17">
        <f t="shared" si="6"/>
        <v>0</v>
      </c>
      <c r="O106" s="17">
        <f t="shared" si="6"/>
        <v>0</v>
      </c>
      <c r="P106" s="17">
        <f t="shared" si="6"/>
        <v>0</v>
      </c>
      <c r="Q106" s="17">
        <f t="shared" si="6"/>
        <v>0.33333333333333331</v>
      </c>
      <c r="R106" s="18" cm="1">
        <f t="array" ref="R106">SUMPRODUCT(ABS(F106:Q106-F105:Q105))</f>
        <v>0.66666666666666663</v>
      </c>
      <c r="S106" s="18" cm="1">
        <f t="array" ref="S106">SUMPRODUCT(ABS(G106:Q106-G105:Q105))</f>
        <v>0.33333333333333331</v>
      </c>
    </row>
    <row r="107" spans="1:19" x14ac:dyDescent="0.3">
      <c r="A107" s="2" t="s">
        <v>217</v>
      </c>
      <c r="B107" s="2">
        <v>1</v>
      </c>
      <c r="C107" s="2" t="s">
        <v>218</v>
      </c>
      <c r="D107" s="2" t="s">
        <v>219</v>
      </c>
      <c r="F107" s="17">
        <f t="shared" si="4"/>
        <v>0</v>
      </c>
      <c r="G107" s="17">
        <f t="shared" si="6"/>
        <v>0.33333333333333331</v>
      </c>
      <c r="H107" s="17">
        <f t="shared" si="6"/>
        <v>0</v>
      </c>
      <c r="I107" s="17">
        <f t="shared" si="6"/>
        <v>0</v>
      </c>
      <c r="J107" s="17">
        <f t="shared" si="6"/>
        <v>0</v>
      </c>
      <c r="K107" s="17">
        <f t="shared" si="6"/>
        <v>0</v>
      </c>
      <c r="L107" s="17">
        <f t="shared" si="6"/>
        <v>0.33333333333333331</v>
      </c>
      <c r="M107" s="17">
        <f t="shared" si="6"/>
        <v>0</v>
      </c>
      <c r="N107" s="17">
        <f t="shared" si="6"/>
        <v>0</v>
      </c>
      <c r="O107" s="17">
        <f t="shared" si="6"/>
        <v>0</v>
      </c>
      <c r="P107" s="17">
        <f t="shared" si="6"/>
        <v>0</v>
      </c>
      <c r="Q107" s="17">
        <f t="shared" si="6"/>
        <v>0.33333333333333331</v>
      </c>
      <c r="R107" s="18" cm="1">
        <f t="array" ref="R107">SUMPRODUCT(ABS(F107:Q107-F106:Q106))</f>
        <v>0.66666666666666663</v>
      </c>
      <c r="S107" s="18" cm="1">
        <f t="array" ref="S107">SUMPRODUCT(ABS(G107:Q107-G106:Q106))</f>
        <v>0.66666666666666663</v>
      </c>
    </row>
    <row r="108" spans="1:19" x14ac:dyDescent="0.3">
      <c r="A108" s="2" t="s">
        <v>220</v>
      </c>
      <c r="B108" s="2">
        <v>1</v>
      </c>
      <c r="C108" s="2" t="s">
        <v>213</v>
      </c>
      <c r="D108" s="2" t="s">
        <v>95</v>
      </c>
      <c r="F108" s="17">
        <f t="shared" si="4"/>
        <v>0.33333333333333331</v>
      </c>
      <c r="G108" s="17">
        <f t="shared" si="6"/>
        <v>0.33333333333333331</v>
      </c>
      <c r="H108" s="17">
        <f t="shared" si="6"/>
        <v>0</v>
      </c>
      <c r="I108" s="17">
        <f t="shared" si="6"/>
        <v>0</v>
      </c>
      <c r="J108" s="17">
        <f t="shared" si="6"/>
        <v>0</v>
      </c>
      <c r="K108" s="17">
        <f t="shared" si="6"/>
        <v>0</v>
      </c>
      <c r="L108" s="17">
        <f t="shared" si="6"/>
        <v>0</v>
      </c>
      <c r="M108" s="17">
        <f t="shared" si="6"/>
        <v>0</v>
      </c>
      <c r="N108" s="17">
        <f t="shared" si="6"/>
        <v>0</v>
      </c>
      <c r="O108" s="17">
        <f t="shared" si="6"/>
        <v>0</v>
      </c>
      <c r="P108" s="17">
        <f t="shared" si="6"/>
        <v>0</v>
      </c>
      <c r="Q108" s="17">
        <f t="shared" si="6"/>
        <v>0.33333333333333331</v>
      </c>
      <c r="R108" s="18" cm="1">
        <f t="array" ref="R108">SUMPRODUCT(ABS(F108:Q108-F107:Q107))</f>
        <v>0.66666666666666663</v>
      </c>
      <c r="S108" s="18" cm="1">
        <f t="array" ref="S108">SUMPRODUCT(ABS(G108:Q108-G107:Q107))</f>
        <v>0.33333333333333331</v>
      </c>
    </row>
    <row r="109" spans="1:19" x14ac:dyDescent="0.3">
      <c r="A109" s="2" t="s">
        <v>221</v>
      </c>
      <c r="B109" s="2">
        <v>8</v>
      </c>
      <c r="C109" s="2" t="s">
        <v>74</v>
      </c>
      <c r="D109" s="2" t="s">
        <v>23</v>
      </c>
      <c r="F109" s="17">
        <f t="shared" si="4"/>
        <v>0.66666666666666663</v>
      </c>
      <c r="G109" s="17">
        <f t="shared" si="6"/>
        <v>0.33333333333333331</v>
      </c>
      <c r="H109" s="17">
        <f t="shared" si="6"/>
        <v>0</v>
      </c>
      <c r="I109" s="17">
        <f t="shared" si="6"/>
        <v>0</v>
      </c>
      <c r="J109" s="17">
        <f t="shared" si="6"/>
        <v>0</v>
      </c>
      <c r="K109" s="17">
        <f t="shared" si="6"/>
        <v>0</v>
      </c>
      <c r="L109" s="17">
        <f t="shared" si="6"/>
        <v>0</v>
      </c>
      <c r="M109" s="17">
        <f t="shared" si="6"/>
        <v>0</v>
      </c>
      <c r="N109" s="17">
        <f t="shared" si="6"/>
        <v>0</v>
      </c>
      <c r="O109" s="17">
        <f t="shared" si="6"/>
        <v>0</v>
      </c>
      <c r="P109" s="17">
        <f t="shared" si="6"/>
        <v>0</v>
      </c>
      <c r="Q109" s="17">
        <f t="shared" si="6"/>
        <v>0</v>
      </c>
      <c r="R109" s="18" cm="1">
        <f t="array" ref="R109">SUMPRODUCT(ABS(F109:Q109-F108:Q108))</f>
        <v>0.66666666666666663</v>
      </c>
      <c r="S109" s="18" cm="1">
        <f t="array" ref="S109">SUMPRODUCT(ABS(G109:Q109-G108:Q108))</f>
        <v>0.33333333333333331</v>
      </c>
    </row>
    <row r="110" spans="1:19" x14ac:dyDescent="0.3">
      <c r="A110" s="2" t="s">
        <v>222</v>
      </c>
      <c r="B110" s="2">
        <v>6</v>
      </c>
      <c r="C110" s="2" t="s">
        <v>223</v>
      </c>
      <c r="D110" s="2" t="s">
        <v>224</v>
      </c>
      <c r="F110" s="17">
        <f t="shared" si="4"/>
        <v>0.33333333333333331</v>
      </c>
      <c r="G110" s="17">
        <f t="shared" si="6"/>
        <v>0.33333333333333331</v>
      </c>
      <c r="H110" s="17">
        <f t="shared" si="6"/>
        <v>0</v>
      </c>
      <c r="I110" s="17">
        <f t="shared" si="6"/>
        <v>0</v>
      </c>
      <c r="J110" s="17">
        <f t="shared" si="6"/>
        <v>0.33333333333333331</v>
      </c>
      <c r="K110" s="17">
        <f t="shared" si="6"/>
        <v>0</v>
      </c>
      <c r="L110" s="17">
        <f t="shared" si="6"/>
        <v>0</v>
      </c>
      <c r="M110" s="17">
        <f t="shared" si="6"/>
        <v>0</v>
      </c>
      <c r="N110" s="17">
        <f t="shared" si="6"/>
        <v>0</v>
      </c>
      <c r="O110" s="17">
        <f t="shared" si="6"/>
        <v>0</v>
      </c>
      <c r="P110" s="17">
        <f t="shared" si="6"/>
        <v>0</v>
      </c>
      <c r="Q110" s="17">
        <f t="shared" si="6"/>
        <v>0</v>
      </c>
      <c r="R110" s="18" cm="1">
        <f t="array" ref="R110">SUMPRODUCT(ABS(F110:Q110-F109:Q109))</f>
        <v>0.66666666666666663</v>
      </c>
      <c r="S110" s="18" cm="1">
        <f t="array" ref="S110">SUMPRODUCT(ABS(G110:Q110-G109:Q109))</f>
        <v>0.33333333333333331</v>
      </c>
    </row>
    <row r="111" spans="1:19" x14ac:dyDescent="0.3">
      <c r="A111" s="2" t="s">
        <v>225</v>
      </c>
      <c r="B111" s="2">
        <v>25</v>
      </c>
      <c r="C111" s="2" t="s">
        <v>55</v>
      </c>
      <c r="D111" s="2" t="s">
        <v>103</v>
      </c>
      <c r="F111" s="17">
        <f t="shared" si="4"/>
        <v>0</v>
      </c>
      <c r="G111" s="17">
        <f t="shared" si="6"/>
        <v>0.33333333333333331</v>
      </c>
      <c r="H111" s="17">
        <f t="shared" si="6"/>
        <v>0</v>
      </c>
      <c r="I111" s="17">
        <f t="shared" si="6"/>
        <v>0</v>
      </c>
      <c r="J111" s="17">
        <f t="shared" si="6"/>
        <v>0.33333333333333331</v>
      </c>
      <c r="K111" s="17">
        <f t="shared" si="6"/>
        <v>0.33333333333333331</v>
      </c>
      <c r="L111" s="17">
        <f t="shared" si="6"/>
        <v>0</v>
      </c>
      <c r="M111" s="17">
        <f t="shared" si="6"/>
        <v>0</v>
      </c>
      <c r="N111" s="17">
        <f t="shared" si="6"/>
        <v>0</v>
      </c>
      <c r="O111" s="17">
        <f t="shared" si="6"/>
        <v>0</v>
      </c>
      <c r="P111" s="17">
        <f t="shared" si="6"/>
        <v>0</v>
      </c>
      <c r="Q111" s="17">
        <f t="shared" si="6"/>
        <v>0</v>
      </c>
      <c r="R111" s="18" cm="1">
        <f t="array" ref="R111">SUMPRODUCT(ABS(F111:Q111-F110:Q110))</f>
        <v>0.66666666666666663</v>
      </c>
      <c r="S111" s="18" cm="1">
        <f t="array" ref="S111">SUMPRODUCT(ABS(G111:Q111-G110:Q110))</f>
        <v>0.33333333333333331</v>
      </c>
    </row>
    <row r="112" spans="1:19" x14ac:dyDescent="0.3">
      <c r="A112" s="2" t="s">
        <v>226</v>
      </c>
      <c r="B112" s="2">
        <v>3</v>
      </c>
      <c r="C112" s="2" t="s">
        <v>58</v>
      </c>
      <c r="D112" s="2" t="s">
        <v>59</v>
      </c>
      <c r="F112" s="17">
        <f t="shared" si="4"/>
        <v>0.33333333333333331</v>
      </c>
      <c r="G112" s="17">
        <f t="shared" si="6"/>
        <v>0</v>
      </c>
      <c r="H112" s="17">
        <f t="shared" si="6"/>
        <v>0</v>
      </c>
      <c r="I112" s="17">
        <f t="shared" si="6"/>
        <v>0</v>
      </c>
      <c r="J112" s="17">
        <f t="shared" si="6"/>
        <v>0.33333333333333331</v>
      </c>
      <c r="K112" s="17">
        <f t="shared" si="6"/>
        <v>0.33333333333333331</v>
      </c>
      <c r="L112" s="17">
        <f t="shared" si="6"/>
        <v>0</v>
      </c>
      <c r="M112" s="17">
        <f t="shared" si="6"/>
        <v>0</v>
      </c>
      <c r="N112" s="17">
        <f t="shared" si="6"/>
        <v>0</v>
      </c>
      <c r="O112" s="17">
        <f t="shared" si="6"/>
        <v>0</v>
      </c>
      <c r="P112" s="17">
        <f t="shared" si="6"/>
        <v>0</v>
      </c>
      <c r="Q112" s="17">
        <f t="shared" si="6"/>
        <v>0</v>
      </c>
      <c r="R112" s="18" cm="1">
        <f t="array" ref="R112">SUMPRODUCT(ABS(F112:Q112-F111:Q111))</f>
        <v>0.66666666666666663</v>
      </c>
      <c r="S112" s="18" cm="1">
        <f t="array" ref="S112">SUMPRODUCT(ABS(G112:Q112-G111:Q111))</f>
        <v>0.33333333333333331</v>
      </c>
    </row>
    <row r="113" spans="1:19" x14ac:dyDescent="0.3">
      <c r="A113" s="2" t="s">
        <v>227</v>
      </c>
      <c r="B113" s="2">
        <v>1</v>
      </c>
      <c r="C113" s="2" t="s">
        <v>68</v>
      </c>
      <c r="D113" s="2" t="s">
        <v>69</v>
      </c>
      <c r="F113" s="17">
        <f t="shared" si="4"/>
        <v>0.66666666666666663</v>
      </c>
      <c r="G113" s="17">
        <f t="shared" si="6"/>
        <v>0</v>
      </c>
      <c r="H113" s="17">
        <f t="shared" si="6"/>
        <v>0</v>
      </c>
      <c r="I113" s="17">
        <f t="shared" si="6"/>
        <v>0</v>
      </c>
      <c r="J113" s="17">
        <f t="shared" si="6"/>
        <v>0</v>
      </c>
      <c r="K113" s="17">
        <f t="shared" si="6"/>
        <v>0.33333333333333331</v>
      </c>
      <c r="L113" s="17">
        <f t="shared" si="6"/>
        <v>0</v>
      </c>
      <c r="M113" s="17">
        <f t="shared" si="6"/>
        <v>0</v>
      </c>
      <c r="N113" s="17">
        <f t="shared" si="6"/>
        <v>0</v>
      </c>
      <c r="O113" s="17">
        <f t="shared" si="6"/>
        <v>0</v>
      </c>
      <c r="P113" s="17">
        <f t="shared" si="6"/>
        <v>0</v>
      </c>
      <c r="Q113" s="17">
        <f t="shared" si="6"/>
        <v>0</v>
      </c>
      <c r="R113" s="18" cm="1">
        <f t="array" ref="R113">SUMPRODUCT(ABS(F113:Q113-F112:Q112))</f>
        <v>0.66666666666666663</v>
      </c>
      <c r="S113" s="18" cm="1">
        <f t="array" ref="S113">SUMPRODUCT(ABS(G113:Q113-G112:Q112))</f>
        <v>0.33333333333333331</v>
      </c>
    </row>
    <row r="114" spans="1:19" x14ac:dyDescent="0.3">
      <c r="A114" s="2" t="s">
        <v>228</v>
      </c>
      <c r="B114" s="2">
        <v>6</v>
      </c>
      <c r="C114" s="2" t="s">
        <v>5</v>
      </c>
      <c r="D114" s="2" t="s">
        <v>229</v>
      </c>
      <c r="F114" s="17">
        <f t="shared" si="4"/>
        <v>1</v>
      </c>
      <c r="G114" s="17">
        <f t="shared" si="6"/>
        <v>0</v>
      </c>
      <c r="H114" s="17">
        <f t="shared" si="6"/>
        <v>0</v>
      </c>
      <c r="I114" s="17">
        <f t="shared" si="6"/>
        <v>0</v>
      </c>
      <c r="J114" s="17">
        <f t="shared" si="6"/>
        <v>0</v>
      </c>
      <c r="K114" s="17">
        <f t="shared" si="6"/>
        <v>0</v>
      </c>
      <c r="L114" s="17">
        <f t="shared" si="6"/>
        <v>0</v>
      </c>
      <c r="M114" s="17">
        <f t="shared" si="6"/>
        <v>0</v>
      </c>
      <c r="N114" s="17">
        <f t="shared" si="6"/>
        <v>0</v>
      </c>
      <c r="O114" s="17">
        <f t="shared" si="6"/>
        <v>0</v>
      </c>
      <c r="P114" s="17">
        <f t="shared" si="6"/>
        <v>0</v>
      </c>
      <c r="Q114" s="17">
        <f t="shared" si="6"/>
        <v>0</v>
      </c>
      <c r="R114" s="18" cm="1">
        <f t="array" ref="R114">SUMPRODUCT(ABS(F114:Q114-F113:Q113))</f>
        <v>0.66666666666666674</v>
      </c>
      <c r="S114" s="18" cm="1">
        <f t="array" ref="S114">SUMPRODUCT(ABS(G114:Q114-G113:Q113))</f>
        <v>0.33333333333333331</v>
      </c>
    </row>
    <row r="115" spans="1:19" x14ac:dyDescent="0.3">
      <c r="A115" s="2" t="s">
        <v>230</v>
      </c>
      <c r="B115" s="2">
        <v>18</v>
      </c>
      <c r="C115" s="2" t="s">
        <v>202</v>
      </c>
      <c r="D115" s="2" t="s">
        <v>231</v>
      </c>
      <c r="F115" s="17">
        <f t="shared" si="4"/>
        <v>0.66666666666666663</v>
      </c>
      <c r="G115" s="17">
        <f t="shared" si="6"/>
        <v>0</v>
      </c>
      <c r="H115" s="17">
        <f t="shared" si="6"/>
        <v>0.33333333333333331</v>
      </c>
      <c r="I115" s="17">
        <f t="shared" si="6"/>
        <v>0</v>
      </c>
      <c r="J115" s="17">
        <f t="shared" si="6"/>
        <v>0</v>
      </c>
      <c r="K115" s="17">
        <f t="shared" si="6"/>
        <v>0</v>
      </c>
      <c r="L115" s="17">
        <f t="shared" si="6"/>
        <v>0</v>
      </c>
      <c r="M115" s="17">
        <f t="shared" si="6"/>
        <v>0</v>
      </c>
      <c r="N115" s="17">
        <f t="shared" si="6"/>
        <v>0</v>
      </c>
      <c r="O115" s="17">
        <f t="shared" si="6"/>
        <v>0</v>
      </c>
      <c r="P115" s="17">
        <f t="shared" si="6"/>
        <v>0</v>
      </c>
      <c r="Q115" s="17">
        <f t="shared" si="6"/>
        <v>0</v>
      </c>
      <c r="R115" s="18" cm="1">
        <f t="array" ref="R115">SUMPRODUCT(ABS(F115:Q115-F114:Q114))</f>
        <v>0.66666666666666674</v>
      </c>
      <c r="S115" s="18" cm="1">
        <f t="array" ref="S115">SUMPRODUCT(ABS(G115:Q115-G114:Q114))</f>
        <v>0.33333333333333331</v>
      </c>
    </row>
    <row r="116" spans="1:19" x14ac:dyDescent="0.3">
      <c r="A116" s="2" t="s">
        <v>232</v>
      </c>
      <c r="B116" s="2">
        <v>6</v>
      </c>
      <c r="C116" s="2" t="s">
        <v>169</v>
      </c>
      <c r="D116" s="2" t="s">
        <v>41</v>
      </c>
      <c r="F116" s="17">
        <f t="shared" si="4"/>
        <v>0.33333333333333331</v>
      </c>
      <c r="G116" s="17">
        <f t="shared" si="6"/>
        <v>0</v>
      </c>
      <c r="H116" s="17">
        <f t="shared" si="6"/>
        <v>0.33333333333333331</v>
      </c>
      <c r="I116" s="17">
        <f t="shared" si="6"/>
        <v>0</v>
      </c>
      <c r="J116" s="17">
        <f t="shared" si="6"/>
        <v>0</v>
      </c>
      <c r="K116" s="17">
        <f t="shared" si="6"/>
        <v>0</v>
      </c>
      <c r="L116" s="17">
        <f t="shared" si="6"/>
        <v>0.33333333333333331</v>
      </c>
      <c r="M116" s="17">
        <f t="shared" si="6"/>
        <v>0</v>
      </c>
      <c r="N116" s="17">
        <f t="shared" si="6"/>
        <v>0</v>
      </c>
      <c r="O116" s="17">
        <f t="shared" si="6"/>
        <v>0</v>
      </c>
      <c r="P116" s="17">
        <f t="shared" si="6"/>
        <v>0</v>
      </c>
      <c r="Q116" s="17">
        <f t="shared" si="6"/>
        <v>0</v>
      </c>
      <c r="R116" s="18" cm="1">
        <f t="array" ref="R116">SUMPRODUCT(ABS(F116:Q116-F115:Q115))</f>
        <v>0.66666666666666663</v>
      </c>
      <c r="S116" s="18" cm="1">
        <f t="array" ref="S116">SUMPRODUCT(ABS(G116:Q116-G115:Q115))</f>
        <v>0.33333333333333331</v>
      </c>
    </row>
    <row r="117" spans="1:19" x14ac:dyDescent="0.3">
      <c r="A117" s="2" t="s">
        <v>233</v>
      </c>
      <c r="B117" s="2">
        <v>4</v>
      </c>
      <c r="C117" s="2" t="s">
        <v>202</v>
      </c>
      <c r="D117" s="2" t="s">
        <v>47</v>
      </c>
      <c r="F117" s="17">
        <f t="shared" si="4"/>
        <v>0.66666666666666663</v>
      </c>
      <c r="G117" s="17">
        <f t="shared" si="6"/>
        <v>0</v>
      </c>
      <c r="H117" s="17">
        <f t="shared" si="6"/>
        <v>0.33333333333333331</v>
      </c>
      <c r="I117" s="17">
        <f t="shared" si="6"/>
        <v>0</v>
      </c>
      <c r="J117" s="17">
        <f t="shared" si="6"/>
        <v>0</v>
      </c>
      <c r="K117" s="17">
        <f t="shared" si="6"/>
        <v>0</v>
      </c>
      <c r="L117" s="17">
        <f t="shared" si="6"/>
        <v>0</v>
      </c>
      <c r="M117" s="17">
        <f t="shared" si="6"/>
        <v>0</v>
      </c>
      <c r="N117" s="17">
        <f t="shared" si="6"/>
        <v>0</v>
      </c>
      <c r="O117" s="17">
        <f t="shared" si="6"/>
        <v>0</v>
      </c>
      <c r="P117" s="17">
        <f t="shared" si="6"/>
        <v>0</v>
      </c>
      <c r="Q117" s="17">
        <f t="shared" si="6"/>
        <v>0</v>
      </c>
      <c r="R117" s="18" cm="1">
        <f t="array" ref="R117">SUMPRODUCT(ABS(F117:Q117-F116:Q116))</f>
        <v>0.66666666666666663</v>
      </c>
      <c r="S117" s="18" cm="1">
        <f t="array" ref="S117">SUMPRODUCT(ABS(G117:Q117-G116:Q116))</f>
        <v>0.33333333333333331</v>
      </c>
    </row>
    <row r="118" spans="1:19" x14ac:dyDescent="0.3">
      <c r="A118" s="2" t="s">
        <v>234</v>
      </c>
      <c r="B118" s="2">
        <v>2</v>
      </c>
      <c r="C118" s="2" t="s">
        <v>235</v>
      </c>
      <c r="D118" s="2" t="s">
        <v>224</v>
      </c>
      <c r="F118" s="17">
        <f t="shared" si="4"/>
        <v>0.33333333333333331</v>
      </c>
      <c r="G118" s="17">
        <f t="shared" si="6"/>
        <v>0</v>
      </c>
      <c r="H118" s="17">
        <f t="shared" si="6"/>
        <v>0.33333333333333331</v>
      </c>
      <c r="I118" s="17">
        <f t="shared" si="6"/>
        <v>0</v>
      </c>
      <c r="J118" s="17">
        <f t="shared" si="6"/>
        <v>0.33333333333333331</v>
      </c>
      <c r="K118" s="17">
        <f t="shared" si="6"/>
        <v>0</v>
      </c>
      <c r="L118" s="17">
        <f t="shared" si="6"/>
        <v>0</v>
      </c>
      <c r="M118" s="17">
        <f t="shared" si="6"/>
        <v>0</v>
      </c>
      <c r="N118" s="17">
        <f t="shared" si="6"/>
        <v>0</v>
      </c>
      <c r="O118" s="17">
        <f t="shared" si="6"/>
        <v>0</v>
      </c>
      <c r="P118" s="17">
        <f t="shared" si="6"/>
        <v>0</v>
      </c>
      <c r="Q118" s="17">
        <f t="shared" si="6"/>
        <v>0</v>
      </c>
      <c r="R118" s="18" cm="1">
        <f t="array" ref="R118">SUMPRODUCT(ABS(F118:Q118-F117:Q117))</f>
        <v>0.66666666666666663</v>
      </c>
      <c r="S118" s="18" cm="1">
        <f t="array" ref="S118">SUMPRODUCT(ABS(G118:Q118-G117:Q117))</f>
        <v>0.33333333333333331</v>
      </c>
    </row>
    <row r="119" spans="1:19" x14ac:dyDescent="0.3">
      <c r="A119" s="2" t="s">
        <v>236</v>
      </c>
      <c r="B119" s="2">
        <v>12</v>
      </c>
      <c r="C119" s="2" t="s">
        <v>237</v>
      </c>
      <c r="D119" s="2" t="s">
        <v>33</v>
      </c>
      <c r="F119" s="17">
        <f t="shared" si="4"/>
        <v>0</v>
      </c>
      <c r="G119" s="17">
        <f t="shared" si="6"/>
        <v>0.33333333333333331</v>
      </c>
      <c r="H119" s="17">
        <f t="shared" si="6"/>
        <v>0.33333333333333331</v>
      </c>
      <c r="I119" s="17">
        <f t="shared" si="6"/>
        <v>0</v>
      </c>
      <c r="J119" s="17">
        <f t="shared" si="6"/>
        <v>0.33333333333333331</v>
      </c>
      <c r="K119" s="17">
        <f t="shared" si="6"/>
        <v>0</v>
      </c>
      <c r="L119" s="17">
        <f t="shared" si="6"/>
        <v>0</v>
      </c>
      <c r="M119" s="17">
        <f t="shared" si="6"/>
        <v>0</v>
      </c>
      <c r="N119" s="17">
        <f t="shared" si="6"/>
        <v>0</v>
      </c>
      <c r="O119" s="17">
        <f t="shared" si="6"/>
        <v>0</v>
      </c>
      <c r="P119" s="17">
        <f t="shared" si="6"/>
        <v>0</v>
      </c>
      <c r="Q119" s="17">
        <f t="shared" si="6"/>
        <v>0</v>
      </c>
      <c r="R119" s="18" cm="1">
        <f t="array" ref="R119">SUMPRODUCT(ABS(F119:Q119-F118:Q118))</f>
        <v>0.66666666666666663</v>
      </c>
      <c r="S119" s="18" cm="1">
        <f t="array" ref="S119">SUMPRODUCT(ABS(G119:Q119-G118:Q118))</f>
        <v>0.33333333333333331</v>
      </c>
    </row>
    <row r="120" spans="1:19" x14ac:dyDescent="0.3">
      <c r="A120" s="2" t="s">
        <v>238</v>
      </c>
      <c r="B120" s="2">
        <v>4</v>
      </c>
      <c r="C120" s="2" t="s">
        <v>223</v>
      </c>
      <c r="D120" s="2" t="s">
        <v>177</v>
      </c>
      <c r="F120" s="17">
        <f t="shared" si="4"/>
        <v>0.33333333333333331</v>
      </c>
      <c r="G120" s="17">
        <f t="shared" si="6"/>
        <v>0.33333333333333331</v>
      </c>
      <c r="H120" s="17">
        <f t="shared" si="6"/>
        <v>0</v>
      </c>
      <c r="I120" s="17">
        <f t="shared" si="6"/>
        <v>0</v>
      </c>
      <c r="J120" s="17">
        <f t="shared" si="6"/>
        <v>0.33333333333333331</v>
      </c>
      <c r="K120" s="17">
        <f t="shared" si="6"/>
        <v>0</v>
      </c>
      <c r="L120" s="17">
        <f t="shared" si="6"/>
        <v>0</v>
      </c>
      <c r="M120" s="17">
        <f t="shared" si="6"/>
        <v>0</v>
      </c>
      <c r="N120" s="17">
        <f t="shared" si="6"/>
        <v>0</v>
      </c>
      <c r="O120" s="17">
        <f t="shared" si="6"/>
        <v>0</v>
      </c>
      <c r="P120" s="17">
        <f t="shared" si="6"/>
        <v>0</v>
      </c>
      <c r="Q120" s="17">
        <f t="shared" si="6"/>
        <v>0</v>
      </c>
      <c r="R120" s="18" cm="1">
        <f t="array" ref="R120">SUMPRODUCT(ABS(F120:Q120-F119:Q119))</f>
        <v>0.66666666666666663</v>
      </c>
      <c r="S120" s="18" cm="1">
        <f t="array" ref="S120">SUMPRODUCT(ABS(G120:Q120-G119:Q119))</f>
        <v>0.33333333333333331</v>
      </c>
    </row>
    <row r="121" spans="1:19" x14ac:dyDescent="0.3">
      <c r="A121" s="2" t="s">
        <v>239</v>
      </c>
      <c r="B121" s="2">
        <v>9</v>
      </c>
      <c r="C121" s="2" t="s">
        <v>240</v>
      </c>
      <c r="D121" s="2" t="s">
        <v>241</v>
      </c>
      <c r="F121" s="17">
        <f t="shared" si="4"/>
        <v>0.33333333333333331</v>
      </c>
      <c r="G121" s="17">
        <f t="shared" si="6"/>
        <v>0</v>
      </c>
      <c r="H121" s="17">
        <f t="shared" si="6"/>
        <v>0</v>
      </c>
      <c r="I121" s="17">
        <f t="shared" si="6"/>
        <v>0</v>
      </c>
      <c r="J121" s="17">
        <f t="shared" si="6"/>
        <v>0.33333333333333331</v>
      </c>
      <c r="K121" s="17">
        <f t="shared" si="6"/>
        <v>0</v>
      </c>
      <c r="L121" s="17">
        <f t="shared" si="6"/>
        <v>0</v>
      </c>
      <c r="M121" s="17">
        <f t="shared" si="6"/>
        <v>0</v>
      </c>
      <c r="N121" s="17">
        <f t="shared" si="6"/>
        <v>0.33333333333333331</v>
      </c>
      <c r="O121" s="17">
        <f t="shared" si="6"/>
        <v>0</v>
      </c>
      <c r="P121" s="17">
        <f t="shared" si="6"/>
        <v>0</v>
      </c>
      <c r="Q121" s="17">
        <f t="shared" si="6"/>
        <v>0</v>
      </c>
      <c r="R121" s="18" cm="1">
        <f t="array" ref="R121">SUMPRODUCT(ABS(F121:Q121-F120:Q120))</f>
        <v>0.66666666666666663</v>
      </c>
      <c r="S121" s="18" cm="1">
        <f t="array" ref="S121">SUMPRODUCT(ABS(G121:Q121-G120:Q120))</f>
        <v>0.66666666666666663</v>
      </c>
    </row>
    <row r="122" spans="1:19" x14ac:dyDescent="0.3">
      <c r="A122" s="2" t="s">
        <v>242</v>
      </c>
      <c r="B122" s="2">
        <v>3</v>
      </c>
      <c r="C122" s="2" t="s">
        <v>243</v>
      </c>
      <c r="D122" s="2" t="s">
        <v>62</v>
      </c>
      <c r="F122" s="17">
        <f t="shared" si="4"/>
        <v>0</v>
      </c>
      <c r="G122" s="17">
        <f t="shared" si="6"/>
        <v>0</v>
      </c>
      <c r="H122" s="17">
        <f t="shared" si="6"/>
        <v>0</v>
      </c>
      <c r="I122" s="17">
        <f t="shared" si="6"/>
        <v>0.33333333333333331</v>
      </c>
      <c r="J122" s="17">
        <f t="shared" si="6"/>
        <v>0.33333333333333331</v>
      </c>
      <c r="K122" s="17">
        <f t="shared" si="6"/>
        <v>0</v>
      </c>
      <c r="L122" s="17">
        <f t="shared" si="6"/>
        <v>0</v>
      </c>
      <c r="M122" s="17">
        <f t="shared" si="6"/>
        <v>0</v>
      </c>
      <c r="N122" s="17">
        <f t="shared" si="6"/>
        <v>0.33333333333333331</v>
      </c>
      <c r="O122" s="17">
        <f t="shared" si="6"/>
        <v>0</v>
      </c>
      <c r="P122" s="17">
        <f t="shared" si="6"/>
        <v>0</v>
      </c>
      <c r="Q122" s="17">
        <f t="shared" si="6"/>
        <v>0</v>
      </c>
      <c r="R122" s="18" cm="1">
        <f t="array" ref="R122">SUMPRODUCT(ABS(F122:Q122-F121:Q121))</f>
        <v>0.66666666666666663</v>
      </c>
      <c r="S122" s="18" cm="1">
        <f t="array" ref="S122">SUMPRODUCT(ABS(G122:Q122-G121:Q121))</f>
        <v>0.33333333333333331</v>
      </c>
    </row>
    <row r="123" spans="1:19" x14ac:dyDescent="0.3">
      <c r="A123" s="2" t="s">
        <v>244</v>
      </c>
      <c r="B123" s="2">
        <v>5</v>
      </c>
      <c r="C123" s="2" t="s">
        <v>245</v>
      </c>
      <c r="D123" s="2" t="s">
        <v>246</v>
      </c>
      <c r="F123" s="17">
        <f t="shared" si="4"/>
        <v>0.33333333333333331</v>
      </c>
      <c r="G123" s="17">
        <f t="shared" si="6"/>
        <v>0</v>
      </c>
      <c r="H123" s="17">
        <f t="shared" si="6"/>
        <v>0</v>
      </c>
      <c r="I123" s="17">
        <f t="shared" si="6"/>
        <v>0.33333333333333331</v>
      </c>
      <c r="J123" s="17">
        <f t="shared" si="6"/>
        <v>0</v>
      </c>
      <c r="K123" s="17">
        <f t="shared" si="6"/>
        <v>0</v>
      </c>
      <c r="L123" s="17">
        <f t="shared" si="6"/>
        <v>0</v>
      </c>
      <c r="M123" s="17">
        <f t="shared" si="6"/>
        <v>0</v>
      </c>
      <c r="N123" s="17">
        <f t="shared" si="6"/>
        <v>0.33333333333333331</v>
      </c>
      <c r="O123" s="17">
        <f t="shared" si="6"/>
        <v>0</v>
      </c>
      <c r="P123" s="17">
        <f t="shared" si="6"/>
        <v>0</v>
      </c>
      <c r="Q123" s="17">
        <f t="shared" si="6"/>
        <v>0</v>
      </c>
      <c r="R123" s="18" cm="1">
        <f t="array" ref="R123">SUMPRODUCT(ABS(F123:Q123-F122:Q122))</f>
        <v>0.66666666666666663</v>
      </c>
      <c r="S123" s="18" cm="1">
        <f t="array" ref="S123">SUMPRODUCT(ABS(G123:Q123-G122:Q122))</f>
        <v>0.33333333333333331</v>
      </c>
    </row>
    <row r="124" spans="1:19" x14ac:dyDescent="0.3">
      <c r="A124" s="2" t="s">
        <v>247</v>
      </c>
      <c r="B124" s="2">
        <v>16</v>
      </c>
      <c r="C124" s="2" t="s">
        <v>248</v>
      </c>
      <c r="D124" s="2" t="s">
        <v>249</v>
      </c>
      <c r="F124" s="17">
        <f t="shared" ref="F124:F187" si="7">_xlfn.LET(_xlpm.t," "&amp;$C124&amp;" ",_xlpm.p,SEARCH(" "&amp;F$1&amp;" ",_xlpm.t),IFERROR(ROUND(VALUE(MID(_xlpm.t,_xlpm.p+LEN(F$1)+2,FIND("%",_xlpm.t,_xlpm.p)-_xlpm.p-LEN(F$1)-2))*3/100,0)/3,0))</f>
        <v>0.66666666666666663</v>
      </c>
      <c r="G124" s="17">
        <f t="shared" si="6"/>
        <v>0</v>
      </c>
      <c r="H124" s="17">
        <f t="shared" si="6"/>
        <v>0</v>
      </c>
      <c r="I124" s="17">
        <f t="shared" si="6"/>
        <v>0.33333333333333331</v>
      </c>
      <c r="J124" s="17">
        <f t="shared" si="6"/>
        <v>0</v>
      </c>
      <c r="K124" s="17">
        <f t="shared" si="6"/>
        <v>0</v>
      </c>
      <c r="L124" s="17">
        <f t="shared" si="6"/>
        <v>0</v>
      </c>
      <c r="M124" s="17">
        <f t="shared" si="6"/>
        <v>0</v>
      </c>
      <c r="N124" s="17">
        <f t="shared" si="6"/>
        <v>0</v>
      </c>
      <c r="O124" s="17">
        <f t="shared" si="6"/>
        <v>0</v>
      </c>
      <c r="P124" s="17">
        <f t="shared" si="6"/>
        <v>0</v>
      </c>
      <c r="Q124" s="17">
        <f t="shared" si="6"/>
        <v>0</v>
      </c>
      <c r="R124" s="18" cm="1">
        <f t="array" ref="R124">SUMPRODUCT(ABS(F124:Q124-F123:Q123))</f>
        <v>0.66666666666666663</v>
      </c>
      <c r="S124" s="18" cm="1">
        <f t="array" ref="S124">SUMPRODUCT(ABS(G124:Q124-G123:Q123))</f>
        <v>0.33333333333333331</v>
      </c>
    </row>
    <row r="125" spans="1:19" x14ac:dyDescent="0.3">
      <c r="A125" s="2" t="s">
        <v>250</v>
      </c>
      <c r="B125" s="2">
        <v>3</v>
      </c>
      <c r="C125" s="2" t="s">
        <v>251</v>
      </c>
      <c r="D125" s="2" t="s">
        <v>224</v>
      </c>
      <c r="F125" s="17">
        <f t="shared" si="7"/>
        <v>0.33333333333333331</v>
      </c>
      <c r="G125" s="17">
        <f t="shared" si="6"/>
        <v>0</v>
      </c>
      <c r="H125" s="17">
        <f t="shared" si="6"/>
        <v>0</v>
      </c>
      <c r="I125" s="17">
        <f t="shared" si="6"/>
        <v>0.33333333333333331</v>
      </c>
      <c r="J125" s="17">
        <f t="shared" si="6"/>
        <v>0.33333333333333331</v>
      </c>
      <c r="K125" s="17">
        <f t="shared" si="6"/>
        <v>0</v>
      </c>
      <c r="L125" s="17">
        <f t="shared" si="6"/>
        <v>0</v>
      </c>
      <c r="M125" s="17">
        <f t="shared" si="6"/>
        <v>0</v>
      </c>
      <c r="N125" s="17">
        <f t="shared" si="6"/>
        <v>0</v>
      </c>
      <c r="O125" s="17">
        <f t="shared" si="6"/>
        <v>0</v>
      </c>
      <c r="P125" s="17">
        <f t="shared" si="6"/>
        <v>0</v>
      </c>
      <c r="Q125" s="17">
        <f t="shared" si="6"/>
        <v>0</v>
      </c>
      <c r="R125" s="18" cm="1">
        <f t="array" ref="R125">SUMPRODUCT(ABS(F125:Q125-F124:Q124))</f>
        <v>0.66666666666666663</v>
      </c>
      <c r="S125" s="18" cm="1">
        <f t="array" ref="S125">SUMPRODUCT(ABS(G125:Q125-G124:Q124))</f>
        <v>0.33333333333333331</v>
      </c>
    </row>
    <row r="126" spans="1:19" x14ac:dyDescent="0.3">
      <c r="A126" s="2" t="s">
        <v>252</v>
      </c>
      <c r="B126" s="2">
        <v>18</v>
      </c>
      <c r="C126" s="2" t="s">
        <v>243</v>
      </c>
      <c r="D126" s="2" t="s">
        <v>253</v>
      </c>
      <c r="F126" s="17">
        <f t="shared" si="7"/>
        <v>0</v>
      </c>
      <c r="G126" s="17">
        <f t="shared" si="6"/>
        <v>0</v>
      </c>
      <c r="H126" s="17">
        <f t="shared" si="6"/>
        <v>0</v>
      </c>
      <c r="I126" s="17">
        <f t="shared" si="6"/>
        <v>0.33333333333333331</v>
      </c>
      <c r="J126" s="17">
        <f t="shared" si="6"/>
        <v>0.33333333333333331</v>
      </c>
      <c r="K126" s="17">
        <f t="shared" si="6"/>
        <v>0</v>
      </c>
      <c r="L126" s="17">
        <f t="shared" si="6"/>
        <v>0</v>
      </c>
      <c r="M126" s="17">
        <f t="shared" si="6"/>
        <v>0</v>
      </c>
      <c r="N126" s="17">
        <f t="shared" si="6"/>
        <v>0.33333333333333331</v>
      </c>
      <c r="O126" s="17">
        <f t="shared" si="6"/>
        <v>0</v>
      </c>
      <c r="P126" s="17">
        <f t="shared" si="6"/>
        <v>0</v>
      </c>
      <c r="Q126" s="17">
        <f t="shared" si="6"/>
        <v>0</v>
      </c>
      <c r="R126" s="18" cm="1">
        <f t="array" ref="R126">SUMPRODUCT(ABS(F126:Q126-F125:Q125))</f>
        <v>0.66666666666666663</v>
      </c>
      <c r="S126" s="18" cm="1">
        <f t="array" ref="S126">SUMPRODUCT(ABS(G126:Q126-G125:Q125))</f>
        <v>0.33333333333333331</v>
      </c>
    </row>
    <row r="127" spans="1:19" x14ac:dyDescent="0.3">
      <c r="A127" s="2" t="s">
        <v>254</v>
      </c>
      <c r="B127" s="2">
        <v>1</v>
      </c>
      <c r="C127" s="2" t="s">
        <v>245</v>
      </c>
      <c r="D127" s="2" t="s">
        <v>246</v>
      </c>
      <c r="F127" s="17">
        <f t="shared" si="7"/>
        <v>0.33333333333333331</v>
      </c>
      <c r="G127" s="17">
        <f t="shared" si="6"/>
        <v>0</v>
      </c>
      <c r="H127" s="17">
        <f t="shared" si="6"/>
        <v>0</v>
      </c>
      <c r="I127" s="17">
        <f t="shared" si="6"/>
        <v>0.33333333333333331</v>
      </c>
      <c r="J127" s="17">
        <f t="shared" si="6"/>
        <v>0</v>
      </c>
      <c r="K127" s="17">
        <f t="shared" si="6"/>
        <v>0</v>
      </c>
      <c r="L127" s="17">
        <f t="shared" si="6"/>
        <v>0</v>
      </c>
      <c r="M127" s="17">
        <f t="shared" si="6"/>
        <v>0</v>
      </c>
      <c r="N127" s="17">
        <f t="shared" si="6"/>
        <v>0.33333333333333331</v>
      </c>
      <c r="O127" s="17">
        <f t="shared" si="6"/>
        <v>0</v>
      </c>
      <c r="P127" s="17">
        <f t="shared" si="6"/>
        <v>0</v>
      </c>
      <c r="Q127" s="17">
        <f t="shared" si="6"/>
        <v>0</v>
      </c>
      <c r="R127" s="18" cm="1">
        <f t="array" ref="R127">SUMPRODUCT(ABS(F127:Q127-F126:Q126))</f>
        <v>0.66666666666666663</v>
      </c>
      <c r="S127" s="18" cm="1">
        <f t="array" ref="S127">SUMPRODUCT(ABS(G127:Q127-G126:Q126))</f>
        <v>0.33333333333333331</v>
      </c>
    </row>
    <row r="128" spans="1:19" x14ac:dyDescent="0.3">
      <c r="A128" s="2" t="s">
        <v>255</v>
      </c>
      <c r="B128" s="2">
        <v>8</v>
      </c>
      <c r="C128" s="2" t="s">
        <v>256</v>
      </c>
      <c r="D128" s="2" t="s">
        <v>257</v>
      </c>
      <c r="F128" s="17">
        <f t="shared" si="7"/>
        <v>0.33333333333333331</v>
      </c>
      <c r="G128" s="17">
        <f t="shared" si="6"/>
        <v>0</v>
      </c>
      <c r="H128" s="17">
        <f t="shared" si="6"/>
        <v>0</v>
      </c>
      <c r="I128" s="17">
        <f t="shared" si="6"/>
        <v>0</v>
      </c>
      <c r="J128" s="17">
        <f t="shared" si="6"/>
        <v>0</v>
      </c>
      <c r="K128" s="17">
        <f t="shared" si="6"/>
        <v>0</v>
      </c>
      <c r="L128" s="17">
        <f t="shared" si="6"/>
        <v>0.33333333333333331</v>
      </c>
      <c r="M128" s="17">
        <f t="shared" si="6"/>
        <v>0</v>
      </c>
      <c r="N128" s="17">
        <f t="shared" si="6"/>
        <v>0.33333333333333331</v>
      </c>
      <c r="O128" s="17">
        <f t="shared" ref="G128:Q191" si="8">_xlfn.LET(_xlpm.t," "&amp;$C128&amp;" ",_xlpm.p,SEARCH(" "&amp;O$1&amp;" ",_xlpm.t),IFERROR(ROUND(VALUE(MID(_xlpm.t,_xlpm.p+LEN(O$1)+2,FIND("%",_xlpm.t,_xlpm.p)-_xlpm.p-LEN(O$1)-2))*3/100,0)/3,0))</f>
        <v>0</v>
      </c>
      <c r="P128" s="17">
        <f t="shared" si="8"/>
        <v>0</v>
      </c>
      <c r="Q128" s="17">
        <f t="shared" si="8"/>
        <v>0</v>
      </c>
      <c r="R128" s="18" cm="1">
        <f t="array" ref="R128">SUMPRODUCT(ABS(F128:Q128-F127:Q127))</f>
        <v>0.66666666666666663</v>
      </c>
      <c r="S128" s="18" cm="1">
        <f t="array" ref="S128">SUMPRODUCT(ABS(G128:Q128-G127:Q127))</f>
        <v>0.66666666666666663</v>
      </c>
    </row>
    <row r="129" spans="1:19" x14ac:dyDescent="0.3">
      <c r="A129" s="2" t="s">
        <v>258</v>
      </c>
      <c r="B129" s="2">
        <v>4</v>
      </c>
      <c r="C129" s="2" t="s">
        <v>43</v>
      </c>
      <c r="D129" s="2" t="s">
        <v>249</v>
      </c>
      <c r="F129" s="17">
        <f t="shared" si="7"/>
        <v>0.66666666666666663</v>
      </c>
      <c r="G129" s="17">
        <f t="shared" si="8"/>
        <v>0</v>
      </c>
      <c r="H129" s="17">
        <f t="shared" si="8"/>
        <v>0</v>
      </c>
      <c r="I129" s="17">
        <f t="shared" si="8"/>
        <v>0</v>
      </c>
      <c r="J129" s="17">
        <f t="shared" si="8"/>
        <v>0</v>
      </c>
      <c r="K129" s="17">
        <f t="shared" si="8"/>
        <v>0</v>
      </c>
      <c r="L129" s="17">
        <f t="shared" si="8"/>
        <v>0.33333333333333331</v>
      </c>
      <c r="M129" s="17">
        <f t="shared" si="8"/>
        <v>0</v>
      </c>
      <c r="N129" s="17">
        <f t="shared" si="8"/>
        <v>0</v>
      </c>
      <c r="O129" s="17">
        <f t="shared" si="8"/>
        <v>0</v>
      </c>
      <c r="P129" s="17">
        <f t="shared" si="8"/>
        <v>0</v>
      </c>
      <c r="Q129" s="17">
        <f t="shared" si="8"/>
        <v>0</v>
      </c>
      <c r="R129" s="18" cm="1">
        <f t="array" ref="R129">SUMPRODUCT(ABS(F129:Q129-F128:Q128))</f>
        <v>0.66666666666666663</v>
      </c>
      <c r="S129" s="18" cm="1">
        <f t="array" ref="S129">SUMPRODUCT(ABS(G129:Q129-G128:Q128))</f>
        <v>0.33333333333333331</v>
      </c>
    </row>
    <row r="130" spans="1:19" x14ac:dyDescent="0.3">
      <c r="A130" s="2" t="s">
        <v>259</v>
      </c>
      <c r="B130" s="2">
        <v>19</v>
      </c>
      <c r="C130" s="2" t="s">
        <v>256</v>
      </c>
      <c r="D130" s="2" t="s">
        <v>141</v>
      </c>
      <c r="F130" s="17">
        <f t="shared" si="7"/>
        <v>0.33333333333333331</v>
      </c>
      <c r="G130" s="17">
        <f t="shared" si="8"/>
        <v>0</v>
      </c>
      <c r="H130" s="17">
        <f t="shared" si="8"/>
        <v>0</v>
      </c>
      <c r="I130" s="17">
        <f t="shared" si="8"/>
        <v>0</v>
      </c>
      <c r="J130" s="17">
        <f t="shared" si="8"/>
        <v>0</v>
      </c>
      <c r="K130" s="17">
        <f t="shared" si="8"/>
        <v>0</v>
      </c>
      <c r="L130" s="17">
        <f t="shared" si="8"/>
        <v>0.33333333333333331</v>
      </c>
      <c r="M130" s="17">
        <f t="shared" si="8"/>
        <v>0</v>
      </c>
      <c r="N130" s="17">
        <f t="shared" si="8"/>
        <v>0.33333333333333331</v>
      </c>
      <c r="O130" s="17">
        <f t="shared" si="8"/>
        <v>0</v>
      </c>
      <c r="P130" s="17">
        <f t="shared" si="8"/>
        <v>0</v>
      </c>
      <c r="Q130" s="17">
        <f t="shared" si="8"/>
        <v>0</v>
      </c>
      <c r="R130" s="18" cm="1">
        <f t="array" ref="R130">SUMPRODUCT(ABS(F130:Q130-F129:Q129))</f>
        <v>0.66666666666666663</v>
      </c>
      <c r="S130" s="18" cm="1">
        <f t="array" ref="S130">SUMPRODUCT(ABS(G130:Q130-G129:Q129))</f>
        <v>0.33333333333333331</v>
      </c>
    </row>
    <row r="131" spans="1:19" x14ac:dyDescent="0.3">
      <c r="A131" s="2" t="s">
        <v>260</v>
      </c>
      <c r="B131" s="2">
        <v>10</v>
      </c>
      <c r="C131" s="2" t="s">
        <v>261</v>
      </c>
      <c r="D131" s="2" t="s">
        <v>62</v>
      </c>
      <c r="F131" s="17">
        <f t="shared" si="7"/>
        <v>0</v>
      </c>
      <c r="G131" s="17">
        <f t="shared" si="8"/>
        <v>0</v>
      </c>
      <c r="H131" s="17">
        <f t="shared" si="8"/>
        <v>0</v>
      </c>
      <c r="I131" s="17">
        <f t="shared" si="8"/>
        <v>0.33333333333333331</v>
      </c>
      <c r="J131" s="17">
        <f t="shared" si="8"/>
        <v>0</v>
      </c>
      <c r="K131" s="17">
        <f t="shared" si="8"/>
        <v>0</v>
      </c>
      <c r="L131" s="17">
        <f t="shared" si="8"/>
        <v>0.33333333333333331</v>
      </c>
      <c r="M131" s="17">
        <f t="shared" si="8"/>
        <v>0</v>
      </c>
      <c r="N131" s="17">
        <f t="shared" si="8"/>
        <v>0.33333333333333331</v>
      </c>
      <c r="O131" s="17">
        <f t="shared" si="8"/>
        <v>0</v>
      </c>
      <c r="P131" s="17">
        <f t="shared" si="8"/>
        <v>0</v>
      </c>
      <c r="Q131" s="17">
        <f t="shared" si="8"/>
        <v>0</v>
      </c>
      <c r="R131" s="18" cm="1">
        <f t="array" ref="R131">SUMPRODUCT(ABS(F131:Q131-F130:Q130))</f>
        <v>0.66666666666666663</v>
      </c>
      <c r="S131" s="18" cm="1">
        <f t="array" ref="S131">SUMPRODUCT(ABS(G131:Q131-G130:Q130))</f>
        <v>0.33333333333333331</v>
      </c>
    </row>
    <row r="132" spans="1:19" x14ac:dyDescent="0.3">
      <c r="A132" s="2" t="s">
        <v>262</v>
      </c>
      <c r="B132" s="2">
        <v>31</v>
      </c>
      <c r="C132" s="2" t="s">
        <v>248</v>
      </c>
      <c r="D132" s="2" t="s">
        <v>263</v>
      </c>
      <c r="F132" s="17">
        <f t="shared" si="7"/>
        <v>0.66666666666666663</v>
      </c>
      <c r="G132" s="17">
        <f t="shared" si="8"/>
        <v>0</v>
      </c>
      <c r="H132" s="17">
        <f t="shared" si="8"/>
        <v>0</v>
      </c>
      <c r="I132" s="17">
        <f t="shared" si="8"/>
        <v>0.33333333333333331</v>
      </c>
      <c r="J132" s="17">
        <f t="shared" si="8"/>
        <v>0</v>
      </c>
      <c r="K132" s="17">
        <f t="shared" si="8"/>
        <v>0</v>
      </c>
      <c r="L132" s="17">
        <f t="shared" si="8"/>
        <v>0</v>
      </c>
      <c r="M132" s="17">
        <f t="shared" si="8"/>
        <v>0</v>
      </c>
      <c r="N132" s="17">
        <f t="shared" si="8"/>
        <v>0</v>
      </c>
      <c r="O132" s="17">
        <f t="shared" si="8"/>
        <v>0</v>
      </c>
      <c r="P132" s="17">
        <f t="shared" si="8"/>
        <v>0</v>
      </c>
      <c r="Q132" s="17">
        <f t="shared" si="8"/>
        <v>0</v>
      </c>
      <c r="R132" s="18" cm="1">
        <f t="array" ref="R132">SUMPRODUCT(ABS(F132:Q132-F131:Q131))</f>
        <v>1.3333333333333333</v>
      </c>
      <c r="S132" s="18" cm="1">
        <f t="array" ref="S132">SUMPRODUCT(ABS(G132:Q132-G131:Q131))</f>
        <v>0.66666666666666663</v>
      </c>
    </row>
    <row r="133" spans="1:19" x14ac:dyDescent="0.3">
      <c r="A133" s="2" t="s">
        <v>264</v>
      </c>
      <c r="B133" s="2">
        <v>8</v>
      </c>
      <c r="C133" s="2" t="s">
        <v>265</v>
      </c>
      <c r="D133" s="2" t="s">
        <v>25</v>
      </c>
      <c r="F133" s="17">
        <f t="shared" si="7"/>
        <v>0.33333333333333331</v>
      </c>
      <c r="G133" s="17">
        <f t="shared" si="8"/>
        <v>0</v>
      </c>
      <c r="H133" s="17">
        <f t="shared" si="8"/>
        <v>0</v>
      </c>
      <c r="I133" s="17">
        <f t="shared" si="8"/>
        <v>0.33333333333333331</v>
      </c>
      <c r="J133" s="17">
        <f t="shared" si="8"/>
        <v>0</v>
      </c>
      <c r="K133" s="17">
        <f t="shared" si="8"/>
        <v>0</v>
      </c>
      <c r="L133" s="17">
        <f t="shared" si="8"/>
        <v>0</v>
      </c>
      <c r="M133" s="17">
        <f t="shared" si="8"/>
        <v>0</v>
      </c>
      <c r="N133" s="17">
        <f t="shared" si="8"/>
        <v>0</v>
      </c>
      <c r="O133" s="17">
        <f t="shared" si="8"/>
        <v>0.33333333333333331</v>
      </c>
      <c r="P133" s="17">
        <f t="shared" si="8"/>
        <v>0</v>
      </c>
      <c r="Q133" s="17">
        <f t="shared" si="8"/>
        <v>0</v>
      </c>
      <c r="R133" s="18" cm="1">
        <f t="array" ref="R133">SUMPRODUCT(ABS(F133:Q133-F132:Q132))</f>
        <v>0.66666666666666663</v>
      </c>
      <c r="S133" s="18" cm="1">
        <f t="array" ref="S133">SUMPRODUCT(ABS(G133:Q133-G132:Q132))</f>
        <v>0.33333333333333331</v>
      </c>
    </row>
    <row r="134" spans="1:19" x14ac:dyDescent="0.3">
      <c r="A134" s="2" t="s">
        <v>266</v>
      </c>
      <c r="B134" s="2">
        <v>4</v>
      </c>
      <c r="C134" s="2" t="s">
        <v>267</v>
      </c>
      <c r="D134" s="2" t="s">
        <v>127</v>
      </c>
      <c r="F134" s="17">
        <f t="shared" si="7"/>
        <v>0</v>
      </c>
      <c r="G134" s="17">
        <f t="shared" si="8"/>
        <v>0</v>
      </c>
      <c r="H134" s="17">
        <f t="shared" si="8"/>
        <v>0</v>
      </c>
      <c r="I134" s="17">
        <f t="shared" si="8"/>
        <v>0.33333333333333331</v>
      </c>
      <c r="J134" s="17">
        <f t="shared" si="8"/>
        <v>0</v>
      </c>
      <c r="K134" s="17">
        <f t="shared" si="8"/>
        <v>0</v>
      </c>
      <c r="L134" s="17">
        <f t="shared" si="8"/>
        <v>0</v>
      </c>
      <c r="M134" s="17">
        <f t="shared" si="8"/>
        <v>0</v>
      </c>
      <c r="N134" s="17">
        <f t="shared" si="8"/>
        <v>0</v>
      </c>
      <c r="O134" s="17">
        <f t="shared" si="8"/>
        <v>0.33333333333333331</v>
      </c>
      <c r="P134" s="17">
        <f t="shared" si="8"/>
        <v>0.33333333333333331</v>
      </c>
      <c r="Q134" s="17">
        <f t="shared" si="8"/>
        <v>0</v>
      </c>
      <c r="R134" s="18" cm="1">
        <f t="array" ref="R134">SUMPRODUCT(ABS(F134:Q134-F133:Q133))</f>
        <v>0.66666666666666663</v>
      </c>
      <c r="S134" s="18" cm="1">
        <f t="array" ref="S134">SUMPRODUCT(ABS(G134:Q134-G133:Q133))</f>
        <v>0.33333333333333331</v>
      </c>
    </row>
    <row r="135" spans="1:19" x14ac:dyDescent="0.3">
      <c r="A135" s="2" t="s">
        <v>268</v>
      </c>
      <c r="B135" s="2">
        <v>3</v>
      </c>
      <c r="C135" s="2" t="s">
        <v>269</v>
      </c>
      <c r="D135" s="2" t="s">
        <v>270</v>
      </c>
      <c r="F135" s="17">
        <f t="shared" si="7"/>
        <v>0</v>
      </c>
      <c r="G135" s="17">
        <f t="shared" si="8"/>
        <v>0</v>
      </c>
      <c r="H135" s="17">
        <f t="shared" si="8"/>
        <v>0</v>
      </c>
      <c r="I135" s="17">
        <f t="shared" si="8"/>
        <v>0.33333333333333331</v>
      </c>
      <c r="J135" s="17">
        <f t="shared" si="8"/>
        <v>0.33333333333333331</v>
      </c>
      <c r="K135" s="17">
        <f t="shared" si="8"/>
        <v>0</v>
      </c>
      <c r="L135" s="17">
        <f t="shared" si="8"/>
        <v>0</v>
      </c>
      <c r="M135" s="17">
        <f t="shared" si="8"/>
        <v>0</v>
      </c>
      <c r="N135" s="17">
        <f t="shared" si="8"/>
        <v>0</v>
      </c>
      <c r="O135" s="17">
        <f t="shared" si="8"/>
        <v>0</v>
      </c>
      <c r="P135" s="17">
        <f t="shared" si="8"/>
        <v>0.33333333333333331</v>
      </c>
      <c r="Q135" s="17">
        <f t="shared" si="8"/>
        <v>0</v>
      </c>
      <c r="R135" s="18" cm="1">
        <f t="array" ref="R135">SUMPRODUCT(ABS(F135:Q135-F134:Q134))</f>
        <v>0.66666666666666663</v>
      </c>
      <c r="S135" s="18" cm="1">
        <f t="array" ref="S135">SUMPRODUCT(ABS(G135:Q135-G134:Q134))</f>
        <v>0.66666666666666663</v>
      </c>
    </row>
    <row r="136" spans="1:19" x14ac:dyDescent="0.3">
      <c r="A136" s="2" t="s">
        <v>271</v>
      </c>
      <c r="B136" s="2">
        <v>1</v>
      </c>
      <c r="C136" s="2" t="s">
        <v>272</v>
      </c>
      <c r="D136" s="2" t="s">
        <v>246</v>
      </c>
      <c r="F136" s="17">
        <f t="shared" si="7"/>
        <v>0.33333333333333331</v>
      </c>
      <c r="G136" s="17">
        <f t="shared" si="8"/>
        <v>0</v>
      </c>
      <c r="H136" s="17">
        <f t="shared" si="8"/>
        <v>0</v>
      </c>
      <c r="I136" s="17">
        <f t="shared" si="8"/>
        <v>0.33333333333333331</v>
      </c>
      <c r="J136" s="17">
        <f t="shared" si="8"/>
        <v>0</v>
      </c>
      <c r="K136" s="17">
        <f t="shared" si="8"/>
        <v>0</v>
      </c>
      <c r="L136" s="17">
        <f t="shared" si="8"/>
        <v>0</v>
      </c>
      <c r="M136" s="17">
        <f t="shared" si="8"/>
        <v>0</v>
      </c>
      <c r="N136" s="17">
        <f t="shared" si="8"/>
        <v>0</v>
      </c>
      <c r="O136" s="17">
        <f t="shared" si="8"/>
        <v>0</v>
      </c>
      <c r="P136" s="17">
        <f t="shared" si="8"/>
        <v>0.33333333333333331</v>
      </c>
      <c r="Q136" s="17">
        <f t="shared" si="8"/>
        <v>0</v>
      </c>
      <c r="R136" s="18" cm="1">
        <f t="array" ref="R136">SUMPRODUCT(ABS(F136:Q136-F135:Q135))</f>
        <v>0.66666666666666663</v>
      </c>
      <c r="S136" s="18" cm="1">
        <f t="array" ref="S136">SUMPRODUCT(ABS(G136:Q136-G135:Q135))</f>
        <v>0.33333333333333331</v>
      </c>
    </row>
    <row r="137" spans="1:19" x14ac:dyDescent="0.3">
      <c r="A137" s="2" t="s">
        <v>273</v>
      </c>
      <c r="B137" s="2">
        <v>18</v>
      </c>
      <c r="C137" s="2" t="s">
        <v>274</v>
      </c>
      <c r="D137" s="2" t="s">
        <v>253</v>
      </c>
      <c r="F137" s="17">
        <f t="shared" si="7"/>
        <v>0</v>
      </c>
      <c r="G137" s="17">
        <f t="shared" si="8"/>
        <v>0</v>
      </c>
      <c r="H137" s="17">
        <f t="shared" si="8"/>
        <v>0</v>
      </c>
      <c r="I137" s="17">
        <f t="shared" si="8"/>
        <v>0.33333333333333331</v>
      </c>
      <c r="J137" s="17">
        <f t="shared" si="8"/>
        <v>0</v>
      </c>
      <c r="K137" s="17">
        <f t="shared" si="8"/>
        <v>0</v>
      </c>
      <c r="L137" s="17">
        <f t="shared" si="8"/>
        <v>0</v>
      </c>
      <c r="M137" s="17">
        <f t="shared" si="8"/>
        <v>0</v>
      </c>
      <c r="N137" s="17">
        <f t="shared" si="8"/>
        <v>0.33333333333333331</v>
      </c>
      <c r="O137" s="17">
        <f t="shared" si="8"/>
        <v>0</v>
      </c>
      <c r="P137" s="17">
        <f t="shared" si="8"/>
        <v>0.33333333333333331</v>
      </c>
      <c r="Q137" s="17">
        <f t="shared" si="8"/>
        <v>0</v>
      </c>
      <c r="R137" s="18" cm="1">
        <f t="array" ref="R137">SUMPRODUCT(ABS(F137:Q137-F136:Q136))</f>
        <v>0.66666666666666663</v>
      </c>
      <c r="S137" s="18" cm="1">
        <f t="array" ref="S137">SUMPRODUCT(ABS(G137:Q137-G136:Q136))</f>
        <v>0.33333333333333331</v>
      </c>
    </row>
    <row r="138" spans="1:19" x14ac:dyDescent="0.3">
      <c r="A138" s="2" t="s">
        <v>275</v>
      </c>
      <c r="B138" s="2">
        <v>1</v>
      </c>
      <c r="C138" s="2" t="s">
        <v>245</v>
      </c>
      <c r="D138" s="2" t="s">
        <v>193</v>
      </c>
      <c r="F138" s="17">
        <f t="shared" si="7"/>
        <v>0.33333333333333331</v>
      </c>
      <c r="G138" s="17">
        <f t="shared" si="8"/>
        <v>0</v>
      </c>
      <c r="H138" s="17">
        <f t="shared" si="8"/>
        <v>0</v>
      </c>
      <c r="I138" s="17">
        <f t="shared" si="8"/>
        <v>0.33333333333333331</v>
      </c>
      <c r="J138" s="17">
        <f t="shared" si="8"/>
        <v>0</v>
      </c>
      <c r="K138" s="17">
        <f t="shared" si="8"/>
        <v>0</v>
      </c>
      <c r="L138" s="17">
        <f t="shared" si="8"/>
        <v>0</v>
      </c>
      <c r="M138" s="17">
        <f t="shared" si="8"/>
        <v>0</v>
      </c>
      <c r="N138" s="17">
        <f t="shared" si="8"/>
        <v>0.33333333333333331</v>
      </c>
      <c r="O138" s="17">
        <f t="shared" si="8"/>
        <v>0</v>
      </c>
      <c r="P138" s="17">
        <f t="shared" si="8"/>
        <v>0</v>
      </c>
      <c r="Q138" s="17">
        <f t="shared" si="8"/>
        <v>0</v>
      </c>
      <c r="R138" s="18" cm="1">
        <f t="array" ref="R138">SUMPRODUCT(ABS(F138:Q138-F137:Q137))</f>
        <v>0.66666666666666663</v>
      </c>
      <c r="S138" s="18" cm="1">
        <f t="array" ref="S138">SUMPRODUCT(ABS(G138:Q138-G137:Q137))</f>
        <v>0.33333333333333331</v>
      </c>
    </row>
    <row r="139" spans="1:19" x14ac:dyDescent="0.3">
      <c r="A139" s="2" t="s">
        <v>276</v>
      </c>
      <c r="B139" s="2">
        <v>2</v>
      </c>
      <c r="C139" s="2" t="s">
        <v>153</v>
      </c>
      <c r="D139" s="2" t="s">
        <v>277</v>
      </c>
      <c r="F139" s="17">
        <f t="shared" si="7"/>
        <v>0.66666666666666663</v>
      </c>
      <c r="G139" s="17">
        <f t="shared" si="8"/>
        <v>0</v>
      </c>
      <c r="H139" s="17">
        <f t="shared" si="8"/>
        <v>0</v>
      </c>
      <c r="I139" s="17">
        <f t="shared" si="8"/>
        <v>0</v>
      </c>
      <c r="J139" s="17">
        <f t="shared" si="8"/>
        <v>0</v>
      </c>
      <c r="K139" s="17">
        <f t="shared" si="8"/>
        <v>0</v>
      </c>
      <c r="L139" s="17">
        <f t="shared" si="8"/>
        <v>0</v>
      </c>
      <c r="M139" s="17">
        <f t="shared" si="8"/>
        <v>0</v>
      </c>
      <c r="N139" s="17">
        <f t="shared" si="8"/>
        <v>0.33333333333333331</v>
      </c>
      <c r="O139" s="17">
        <f t="shared" si="8"/>
        <v>0</v>
      </c>
      <c r="P139" s="17">
        <f t="shared" si="8"/>
        <v>0</v>
      </c>
      <c r="Q139" s="17">
        <f t="shared" si="8"/>
        <v>0</v>
      </c>
      <c r="R139" s="18" cm="1">
        <f t="array" ref="R139">SUMPRODUCT(ABS(F139:Q139-F138:Q138))</f>
        <v>0.66666666666666663</v>
      </c>
      <c r="S139" s="18" cm="1">
        <f t="array" ref="S139">SUMPRODUCT(ABS(G139:Q139-G138:Q138))</f>
        <v>0.33333333333333331</v>
      </c>
    </row>
    <row r="140" spans="1:19" x14ac:dyDescent="0.3">
      <c r="A140" s="2" t="s">
        <v>278</v>
      </c>
      <c r="B140" s="2">
        <v>7</v>
      </c>
      <c r="C140" s="2" t="s">
        <v>5</v>
      </c>
      <c r="D140" s="2" t="s">
        <v>279</v>
      </c>
      <c r="F140" s="17">
        <f t="shared" si="7"/>
        <v>1</v>
      </c>
      <c r="G140" s="17">
        <f t="shared" si="8"/>
        <v>0</v>
      </c>
      <c r="H140" s="17">
        <f t="shared" si="8"/>
        <v>0</v>
      </c>
      <c r="I140" s="17">
        <f t="shared" si="8"/>
        <v>0</v>
      </c>
      <c r="J140" s="17">
        <f t="shared" si="8"/>
        <v>0</v>
      </c>
      <c r="K140" s="17">
        <f t="shared" si="8"/>
        <v>0</v>
      </c>
      <c r="L140" s="17">
        <f t="shared" si="8"/>
        <v>0</v>
      </c>
      <c r="M140" s="17">
        <f t="shared" si="8"/>
        <v>0</v>
      </c>
      <c r="N140" s="17">
        <f t="shared" si="8"/>
        <v>0</v>
      </c>
      <c r="O140" s="17">
        <f t="shared" si="8"/>
        <v>0</v>
      </c>
      <c r="P140" s="17">
        <f t="shared" si="8"/>
        <v>0</v>
      </c>
      <c r="Q140" s="17">
        <f t="shared" si="8"/>
        <v>0</v>
      </c>
      <c r="R140" s="18" cm="1">
        <f t="array" ref="R140">SUMPRODUCT(ABS(F140:Q140-F139:Q139))</f>
        <v>0.66666666666666674</v>
      </c>
      <c r="S140" s="18" cm="1">
        <f t="array" ref="S140">SUMPRODUCT(ABS(G140:Q140-G139:Q139))</f>
        <v>0.33333333333333331</v>
      </c>
    </row>
    <row r="141" spans="1:19" x14ac:dyDescent="0.3">
      <c r="A141" s="2" t="s">
        <v>280</v>
      </c>
      <c r="B141" s="2">
        <v>15</v>
      </c>
      <c r="C141" s="2" t="s">
        <v>248</v>
      </c>
      <c r="D141" s="2" t="s">
        <v>281</v>
      </c>
      <c r="F141" s="17">
        <f t="shared" si="7"/>
        <v>0.66666666666666663</v>
      </c>
      <c r="G141" s="17">
        <f t="shared" si="8"/>
        <v>0</v>
      </c>
      <c r="H141" s="17">
        <f t="shared" si="8"/>
        <v>0</v>
      </c>
      <c r="I141" s="17">
        <f t="shared" si="8"/>
        <v>0.33333333333333331</v>
      </c>
      <c r="J141" s="17">
        <f t="shared" si="8"/>
        <v>0</v>
      </c>
      <c r="K141" s="17">
        <f t="shared" si="8"/>
        <v>0</v>
      </c>
      <c r="L141" s="17">
        <f t="shared" si="8"/>
        <v>0</v>
      </c>
      <c r="M141" s="17">
        <f t="shared" si="8"/>
        <v>0</v>
      </c>
      <c r="N141" s="17">
        <f t="shared" si="8"/>
        <v>0</v>
      </c>
      <c r="O141" s="17">
        <f t="shared" si="8"/>
        <v>0</v>
      </c>
      <c r="P141" s="17">
        <f t="shared" si="8"/>
        <v>0</v>
      </c>
      <c r="Q141" s="17">
        <f t="shared" si="8"/>
        <v>0</v>
      </c>
      <c r="R141" s="18" cm="1">
        <f t="array" ref="R141">SUMPRODUCT(ABS(F141:Q141-F140:Q140))</f>
        <v>0.66666666666666674</v>
      </c>
      <c r="S141" s="18" cm="1">
        <f t="array" ref="S141">SUMPRODUCT(ABS(G141:Q141-G140:Q140))</f>
        <v>0.33333333333333331</v>
      </c>
    </row>
    <row r="142" spans="1:19" x14ac:dyDescent="0.3">
      <c r="A142" s="2" t="s">
        <v>282</v>
      </c>
      <c r="B142" s="2">
        <v>10</v>
      </c>
      <c r="C142" s="2" t="s">
        <v>267</v>
      </c>
      <c r="D142" s="2" t="s">
        <v>283</v>
      </c>
      <c r="F142" s="17">
        <f t="shared" si="7"/>
        <v>0</v>
      </c>
      <c r="G142" s="17">
        <f t="shared" si="8"/>
        <v>0</v>
      </c>
      <c r="H142" s="17">
        <f t="shared" si="8"/>
        <v>0</v>
      </c>
      <c r="I142" s="17">
        <f t="shared" si="8"/>
        <v>0.33333333333333331</v>
      </c>
      <c r="J142" s="17">
        <f t="shared" si="8"/>
        <v>0</v>
      </c>
      <c r="K142" s="17">
        <f t="shared" si="8"/>
        <v>0</v>
      </c>
      <c r="L142" s="17">
        <f t="shared" si="8"/>
        <v>0</v>
      </c>
      <c r="M142" s="17">
        <f t="shared" si="8"/>
        <v>0</v>
      </c>
      <c r="N142" s="17">
        <f t="shared" si="8"/>
        <v>0</v>
      </c>
      <c r="O142" s="17">
        <f t="shared" si="8"/>
        <v>0.33333333333333331</v>
      </c>
      <c r="P142" s="17">
        <f t="shared" si="8"/>
        <v>0.33333333333333331</v>
      </c>
      <c r="Q142" s="17">
        <f t="shared" si="8"/>
        <v>0</v>
      </c>
      <c r="R142" s="18" cm="1">
        <f t="array" ref="R142">SUMPRODUCT(ABS(F142:Q142-F141:Q141))</f>
        <v>1.3333333333333333</v>
      </c>
      <c r="S142" s="18" cm="1">
        <f t="array" ref="S142">SUMPRODUCT(ABS(G142:Q142-G141:Q141))</f>
        <v>0.66666666666666663</v>
      </c>
    </row>
    <row r="143" spans="1:19" x14ac:dyDescent="0.3">
      <c r="A143" s="2" t="s">
        <v>284</v>
      </c>
      <c r="B143" s="2">
        <v>3</v>
      </c>
      <c r="C143" s="2" t="s">
        <v>248</v>
      </c>
      <c r="D143" s="2" t="s">
        <v>285</v>
      </c>
      <c r="F143" s="17">
        <f t="shared" si="7"/>
        <v>0.66666666666666663</v>
      </c>
      <c r="G143" s="17">
        <f t="shared" si="8"/>
        <v>0</v>
      </c>
      <c r="H143" s="17">
        <f t="shared" si="8"/>
        <v>0</v>
      </c>
      <c r="I143" s="17">
        <f t="shared" si="8"/>
        <v>0.33333333333333331</v>
      </c>
      <c r="J143" s="17">
        <f t="shared" si="8"/>
        <v>0</v>
      </c>
      <c r="K143" s="17">
        <f t="shared" si="8"/>
        <v>0</v>
      </c>
      <c r="L143" s="17">
        <f t="shared" si="8"/>
        <v>0</v>
      </c>
      <c r="M143" s="17">
        <f t="shared" si="8"/>
        <v>0</v>
      </c>
      <c r="N143" s="17">
        <f t="shared" si="8"/>
        <v>0</v>
      </c>
      <c r="O143" s="17">
        <f t="shared" si="8"/>
        <v>0</v>
      </c>
      <c r="P143" s="17">
        <f t="shared" si="8"/>
        <v>0</v>
      </c>
      <c r="Q143" s="17">
        <f t="shared" si="8"/>
        <v>0</v>
      </c>
      <c r="R143" s="18" cm="1">
        <f t="array" ref="R143">SUMPRODUCT(ABS(F143:Q143-F142:Q142))</f>
        <v>1.3333333333333333</v>
      </c>
      <c r="S143" s="18" cm="1">
        <f t="array" ref="S143">SUMPRODUCT(ABS(G143:Q143-G142:Q142))</f>
        <v>0.66666666666666663</v>
      </c>
    </row>
    <row r="144" spans="1:19" x14ac:dyDescent="0.3">
      <c r="A144" s="2" t="s">
        <v>286</v>
      </c>
      <c r="B144" s="2">
        <v>28</v>
      </c>
      <c r="C144" s="2" t="s">
        <v>5</v>
      </c>
      <c r="D144" s="2" t="s">
        <v>287</v>
      </c>
      <c r="F144" s="17">
        <f t="shared" si="7"/>
        <v>1</v>
      </c>
      <c r="G144" s="17">
        <f t="shared" si="8"/>
        <v>0</v>
      </c>
      <c r="H144" s="17">
        <f t="shared" si="8"/>
        <v>0</v>
      </c>
      <c r="I144" s="17">
        <f t="shared" si="8"/>
        <v>0</v>
      </c>
      <c r="J144" s="17">
        <f t="shared" si="8"/>
        <v>0</v>
      </c>
      <c r="K144" s="17">
        <f t="shared" si="8"/>
        <v>0</v>
      </c>
      <c r="L144" s="17">
        <f t="shared" si="8"/>
        <v>0</v>
      </c>
      <c r="M144" s="17">
        <f t="shared" si="8"/>
        <v>0</v>
      </c>
      <c r="N144" s="17">
        <f t="shared" si="8"/>
        <v>0</v>
      </c>
      <c r="O144" s="17">
        <f t="shared" si="8"/>
        <v>0</v>
      </c>
      <c r="P144" s="17">
        <f t="shared" si="8"/>
        <v>0</v>
      </c>
      <c r="Q144" s="17">
        <f t="shared" si="8"/>
        <v>0</v>
      </c>
      <c r="R144" s="18" cm="1">
        <f t="array" ref="R144">SUMPRODUCT(ABS(F144:Q144-F143:Q143))</f>
        <v>0.66666666666666674</v>
      </c>
      <c r="S144" s="18" cm="1">
        <f t="array" ref="S144">SUMPRODUCT(ABS(G144:Q144-G143:Q143))</f>
        <v>0.33333333333333331</v>
      </c>
    </row>
    <row r="145" spans="1:19" x14ac:dyDescent="0.3">
      <c r="A145" s="2" t="s">
        <v>288</v>
      </c>
      <c r="B145" s="2">
        <v>1</v>
      </c>
      <c r="C145" s="2" t="s">
        <v>8</v>
      </c>
      <c r="D145" s="2" t="s">
        <v>9</v>
      </c>
      <c r="F145" s="17">
        <f t="shared" si="7"/>
        <v>0.33333333333333331</v>
      </c>
      <c r="G145" s="17">
        <f t="shared" si="8"/>
        <v>0</v>
      </c>
      <c r="H145" s="17">
        <f t="shared" si="8"/>
        <v>0</v>
      </c>
      <c r="I145" s="17">
        <f t="shared" si="8"/>
        <v>0</v>
      </c>
      <c r="J145" s="17">
        <f t="shared" si="8"/>
        <v>0</v>
      </c>
      <c r="K145" s="17">
        <f t="shared" si="8"/>
        <v>0</v>
      </c>
      <c r="L145" s="17">
        <f t="shared" si="8"/>
        <v>0</v>
      </c>
      <c r="M145" s="17">
        <f t="shared" si="8"/>
        <v>0.33333333333333331</v>
      </c>
      <c r="N145" s="17">
        <f t="shared" si="8"/>
        <v>0</v>
      </c>
      <c r="O145" s="17">
        <f t="shared" si="8"/>
        <v>0.33333333333333331</v>
      </c>
      <c r="P145" s="17">
        <f t="shared" si="8"/>
        <v>0</v>
      </c>
      <c r="Q145" s="17">
        <f t="shared" si="8"/>
        <v>0</v>
      </c>
      <c r="R145" s="18" cm="1">
        <f t="array" ref="R145">SUMPRODUCT(ABS(F145:Q145-F144:Q144))</f>
        <v>1.3333333333333333</v>
      </c>
      <c r="S145" s="18" cm="1">
        <f t="array" ref="S145">SUMPRODUCT(ABS(G145:Q145-G144:Q144))</f>
        <v>0.66666666666666663</v>
      </c>
    </row>
    <row r="146" spans="1:19" x14ac:dyDescent="0.3">
      <c r="A146" s="2" t="s">
        <v>289</v>
      </c>
      <c r="B146" s="2">
        <v>22</v>
      </c>
      <c r="C146" s="2" t="s">
        <v>290</v>
      </c>
      <c r="D146" s="2" t="s">
        <v>62</v>
      </c>
      <c r="F146" s="17">
        <f t="shared" si="7"/>
        <v>0</v>
      </c>
      <c r="G146" s="17">
        <f t="shared" si="8"/>
        <v>0</v>
      </c>
      <c r="H146" s="17">
        <f t="shared" si="8"/>
        <v>0</v>
      </c>
      <c r="I146" s="17">
        <f t="shared" si="8"/>
        <v>0.33333333333333331</v>
      </c>
      <c r="J146" s="17">
        <f t="shared" si="8"/>
        <v>0</v>
      </c>
      <c r="K146" s="17">
        <f t="shared" si="8"/>
        <v>0</v>
      </c>
      <c r="L146" s="17">
        <f t="shared" si="8"/>
        <v>0</v>
      </c>
      <c r="M146" s="17">
        <f t="shared" si="8"/>
        <v>0.33333333333333331</v>
      </c>
      <c r="N146" s="17">
        <f t="shared" si="8"/>
        <v>0</v>
      </c>
      <c r="O146" s="17">
        <f t="shared" si="8"/>
        <v>0.33333333333333331</v>
      </c>
      <c r="P146" s="17">
        <f t="shared" si="8"/>
        <v>0</v>
      </c>
      <c r="Q146" s="17">
        <f t="shared" si="8"/>
        <v>0</v>
      </c>
      <c r="R146" s="18" cm="1">
        <f t="array" ref="R146">SUMPRODUCT(ABS(F146:Q146-F145:Q145))</f>
        <v>0.66666666666666663</v>
      </c>
      <c r="S146" s="18" cm="1">
        <f t="array" ref="S146">SUMPRODUCT(ABS(G146:Q146-G145:Q145))</f>
        <v>0.33333333333333331</v>
      </c>
    </row>
    <row r="147" spans="1:19" x14ac:dyDescent="0.3">
      <c r="A147" s="2" t="s">
        <v>291</v>
      </c>
      <c r="B147" s="2">
        <v>15</v>
      </c>
      <c r="C147" s="2" t="s">
        <v>265</v>
      </c>
      <c r="D147" s="2" t="s">
        <v>160</v>
      </c>
      <c r="F147" s="17">
        <f t="shared" si="7"/>
        <v>0.33333333333333331</v>
      </c>
      <c r="G147" s="17">
        <f t="shared" si="8"/>
        <v>0</v>
      </c>
      <c r="H147" s="17">
        <f t="shared" si="8"/>
        <v>0</v>
      </c>
      <c r="I147" s="17">
        <f t="shared" si="8"/>
        <v>0.33333333333333331</v>
      </c>
      <c r="J147" s="17">
        <f t="shared" si="8"/>
        <v>0</v>
      </c>
      <c r="K147" s="17">
        <f t="shared" si="8"/>
        <v>0</v>
      </c>
      <c r="L147" s="17">
        <f t="shared" si="8"/>
        <v>0</v>
      </c>
      <c r="M147" s="17">
        <f t="shared" si="8"/>
        <v>0</v>
      </c>
      <c r="N147" s="17">
        <f t="shared" si="8"/>
        <v>0</v>
      </c>
      <c r="O147" s="17">
        <f t="shared" si="8"/>
        <v>0.33333333333333331</v>
      </c>
      <c r="P147" s="17">
        <f t="shared" si="8"/>
        <v>0</v>
      </c>
      <c r="Q147" s="17">
        <f t="shared" si="8"/>
        <v>0</v>
      </c>
      <c r="R147" s="18" cm="1">
        <f t="array" ref="R147">SUMPRODUCT(ABS(F147:Q147-F146:Q146))</f>
        <v>0.66666666666666663</v>
      </c>
      <c r="S147" s="18" cm="1">
        <f t="array" ref="S147">SUMPRODUCT(ABS(G147:Q147-G146:Q146))</f>
        <v>0.33333333333333331</v>
      </c>
    </row>
    <row r="148" spans="1:19" x14ac:dyDescent="0.3">
      <c r="A148" s="2" t="s">
        <v>292</v>
      </c>
      <c r="B148" s="2">
        <v>2</v>
      </c>
      <c r="C148" s="2" t="s">
        <v>248</v>
      </c>
      <c r="D148" s="2" t="s">
        <v>44</v>
      </c>
      <c r="F148" s="17">
        <f t="shared" si="7"/>
        <v>0.66666666666666663</v>
      </c>
      <c r="G148" s="17">
        <f t="shared" si="8"/>
        <v>0</v>
      </c>
      <c r="H148" s="17">
        <f t="shared" si="8"/>
        <v>0</v>
      </c>
      <c r="I148" s="17">
        <f t="shared" si="8"/>
        <v>0.33333333333333331</v>
      </c>
      <c r="J148" s="17">
        <f t="shared" si="8"/>
        <v>0</v>
      </c>
      <c r="K148" s="17">
        <f t="shared" si="8"/>
        <v>0</v>
      </c>
      <c r="L148" s="17">
        <f t="shared" si="8"/>
        <v>0</v>
      </c>
      <c r="M148" s="17">
        <f t="shared" si="8"/>
        <v>0</v>
      </c>
      <c r="N148" s="17">
        <f t="shared" si="8"/>
        <v>0</v>
      </c>
      <c r="O148" s="17">
        <f t="shared" si="8"/>
        <v>0</v>
      </c>
      <c r="P148" s="17">
        <f t="shared" si="8"/>
        <v>0</v>
      </c>
      <c r="Q148" s="17">
        <f t="shared" si="8"/>
        <v>0</v>
      </c>
      <c r="R148" s="18" cm="1">
        <f t="array" ref="R148">SUMPRODUCT(ABS(F148:Q148-F147:Q147))</f>
        <v>0.66666666666666663</v>
      </c>
      <c r="S148" s="18" cm="1">
        <f t="array" ref="S148">SUMPRODUCT(ABS(G148:Q148-G147:Q147))</f>
        <v>0.33333333333333331</v>
      </c>
    </row>
    <row r="149" spans="1:19" x14ac:dyDescent="0.3">
      <c r="A149" s="2" t="s">
        <v>293</v>
      </c>
      <c r="B149" s="2">
        <v>9</v>
      </c>
      <c r="C149" s="2" t="s">
        <v>5</v>
      </c>
      <c r="D149" s="2" t="s">
        <v>287</v>
      </c>
      <c r="F149" s="17">
        <f t="shared" si="7"/>
        <v>1</v>
      </c>
      <c r="G149" s="17">
        <f t="shared" si="8"/>
        <v>0</v>
      </c>
      <c r="H149" s="17">
        <f t="shared" si="8"/>
        <v>0</v>
      </c>
      <c r="I149" s="17">
        <f t="shared" si="8"/>
        <v>0</v>
      </c>
      <c r="J149" s="17">
        <f t="shared" si="8"/>
        <v>0</v>
      </c>
      <c r="K149" s="17">
        <f t="shared" si="8"/>
        <v>0</v>
      </c>
      <c r="L149" s="17">
        <f t="shared" si="8"/>
        <v>0</v>
      </c>
      <c r="M149" s="17">
        <f t="shared" si="8"/>
        <v>0</v>
      </c>
      <c r="N149" s="17">
        <f t="shared" si="8"/>
        <v>0</v>
      </c>
      <c r="O149" s="17">
        <f t="shared" si="8"/>
        <v>0</v>
      </c>
      <c r="P149" s="17">
        <f t="shared" si="8"/>
        <v>0</v>
      </c>
      <c r="Q149" s="17">
        <f t="shared" si="8"/>
        <v>0</v>
      </c>
      <c r="R149" s="18" cm="1">
        <f t="array" ref="R149">SUMPRODUCT(ABS(F149:Q149-F148:Q148))</f>
        <v>0.66666666666666674</v>
      </c>
      <c r="S149" s="18" cm="1">
        <f t="array" ref="S149">SUMPRODUCT(ABS(G149:Q149-G148:Q148))</f>
        <v>0.33333333333333331</v>
      </c>
    </row>
    <row r="150" spans="1:19" x14ac:dyDescent="0.3">
      <c r="A150" s="2" t="s">
        <v>294</v>
      </c>
      <c r="B150" s="2">
        <v>12</v>
      </c>
      <c r="C150" s="2" t="s">
        <v>248</v>
      </c>
      <c r="D150" s="2" t="s">
        <v>281</v>
      </c>
      <c r="F150" s="17">
        <f t="shared" si="7"/>
        <v>0.66666666666666663</v>
      </c>
      <c r="G150" s="17">
        <f t="shared" si="8"/>
        <v>0</v>
      </c>
      <c r="H150" s="17">
        <f t="shared" si="8"/>
        <v>0</v>
      </c>
      <c r="I150" s="17">
        <f t="shared" si="8"/>
        <v>0.33333333333333331</v>
      </c>
      <c r="J150" s="17">
        <f t="shared" si="8"/>
        <v>0</v>
      </c>
      <c r="K150" s="17">
        <f t="shared" si="8"/>
        <v>0</v>
      </c>
      <c r="L150" s="17">
        <f t="shared" si="8"/>
        <v>0</v>
      </c>
      <c r="M150" s="17">
        <f t="shared" si="8"/>
        <v>0</v>
      </c>
      <c r="N150" s="17">
        <f t="shared" si="8"/>
        <v>0</v>
      </c>
      <c r="O150" s="17">
        <f t="shared" si="8"/>
        <v>0</v>
      </c>
      <c r="P150" s="17">
        <f t="shared" si="8"/>
        <v>0</v>
      </c>
      <c r="Q150" s="17">
        <f t="shared" si="8"/>
        <v>0</v>
      </c>
      <c r="R150" s="18" cm="1">
        <f t="array" ref="R150">SUMPRODUCT(ABS(F150:Q150-F149:Q149))</f>
        <v>0.66666666666666674</v>
      </c>
      <c r="S150" s="18" cm="1">
        <f t="array" ref="S150">SUMPRODUCT(ABS(G150:Q150-G149:Q149))</f>
        <v>0.33333333333333331</v>
      </c>
    </row>
    <row r="151" spans="1:19" x14ac:dyDescent="0.3">
      <c r="A151" s="2" t="s">
        <v>295</v>
      </c>
      <c r="B151" s="2">
        <v>1</v>
      </c>
      <c r="C151" s="2" t="s">
        <v>272</v>
      </c>
      <c r="D151" s="2" t="s">
        <v>296</v>
      </c>
      <c r="F151" s="17">
        <f t="shared" si="7"/>
        <v>0.33333333333333331</v>
      </c>
      <c r="G151" s="17">
        <f t="shared" si="8"/>
        <v>0</v>
      </c>
      <c r="H151" s="17">
        <f t="shared" si="8"/>
        <v>0</v>
      </c>
      <c r="I151" s="17">
        <f t="shared" si="8"/>
        <v>0.33333333333333331</v>
      </c>
      <c r="J151" s="17">
        <f t="shared" si="8"/>
        <v>0</v>
      </c>
      <c r="K151" s="17">
        <f t="shared" si="8"/>
        <v>0</v>
      </c>
      <c r="L151" s="17">
        <f t="shared" si="8"/>
        <v>0</v>
      </c>
      <c r="M151" s="17">
        <f t="shared" si="8"/>
        <v>0</v>
      </c>
      <c r="N151" s="17">
        <f t="shared" si="8"/>
        <v>0</v>
      </c>
      <c r="O151" s="17">
        <f t="shared" si="8"/>
        <v>0</v>
      </c>
      <c r="P151" s="17">
        <f t="shared" si="8"/>
        <v>0.33333333333333331</v>
      </c>
      <c r="Q151" s="17">
        <f t="shared" ref="G151:Q214" si="9">_xlfn.LET(_xlpm.t," "&amp;$C151&amp;" ",_xlpm.p,SEARCH(" "&amp;Q$1&amp;" ",_xlpm.t),IFERROR(ROUND(VALUE(MID(_xlpm.t,_xlpm.p+LEN(Q$1)+2,FIND("%",_xlpm.t,_xlpm.p)-_xlpm.p-LEN(Q$1)-2))*3/100,0)/3,0))</f>
        <v>0</v>
      </c>
      <c r="R151" s="18" cm="1">
        <f t="array" ref="R151">SUMPRODUCT(ABS(F151:Q151-F150:Q150))</f>
        <v>0.66666666666666663</v>
      </c>
      <c r="S151" s="18" cm="1">
        <f t="array" ref="S151">SUMPRODUCT(ABS(G151:Q151-G150:Q150))</f>
        <v>0.33333333333333331</v>
      </c>
    </row>
    <row r="152" spans="1:19" x14ac:dyDescent="0.3">
      <c r="A152" s="2" t="s">
        <v>297</v>
      </c>
      <c r="B152" s="2">
        <v>29</v>
      </c>
      <c r="C152" s="2" t="s">
        <v>298</v>
      </c>
      <c r="D152" s="2" t="s">
        <v>158</v>
      </c>
      <c r="F152" s="17">
        <f t="shared" si="7"/>
        <v>0</v>
      </c>
      <c r="G152" s="17">
        <f t="shared" si="9"/>
        <v>0</v>
      </c>
      <c r="H152" s="17">
        <f t="shared" si="9"/>
        <v>0</v>
      </c>
      <c r="I152" s="17">
        <f t="shared" si="9"/>
        <v>0.33333333333333331</v>
      </c>
      <c r="J152" s="17">
        <f t="shared" si="9"/>
        <v>0</v>
      </c>
      <c r="K152" s="17">
        <f t="shared" si="9"/>
        <v>0</v>
      </c>
      <c r="L152" s="17">
        <f t="shared" si="9"/>
        <v>0</v>
      </c>
      <c r="M152" s="17">
        <f t="shared" si="9"/>
        <v>0.33333333333333331</v>
      </c>
      <c r="N152" s="17">
        <f t="shared" si="9"/>
        <v>0</v>
      </c>
      <c r="O152" s="17">
        <f t="shared" si="9"/>
        <v>0</v>
      </c>
      <c r="P152" s="17">
        <f t="shared" si="9"/>
        <v>0.33333333333333331</v>
      </c>
      <c r="Q152" s="17">
        <f t="shared" si="9"/>
        <v>0</v>
      </c>
      <c r="R152" s="18" cm="1">
        <f t="array" ref="R152">SUMPRODUCT(ABS(F152:Q152-F151:Q151))</f>
        <v>0.66666666666666663</v>
      </c>
      <c r="S152" s="18" cm="1">
        <f t="array" ref="S152">SUMPRODUCT(ABS(G152:Q152-G151:Q151))</f>
        <v>0.33333333333333331</v>
      </c>
    </row>
    <row r="153" spans="1:19" x14ac:dyDescent="0.3">
      <c r="A153" s="2" t="s">
        <v>299</v>
      </c>
      <c r="B153" s="2">
        <v>22</v>
      </c>
      <c r="C153" s="2" t="s">
        <v>300</v>
      </c>
      <c r="D153" s="2" t="s">
        <v>64</v>
      </c>
      <c r="F153" s="17">
        <f t="shared" si="7"/>
        <v>0.33333333333333331</v>
      </c>
      <c r="G153" s="17">
        <f t="shared" si="9"/>
        <v>0</v>
      </c>
      <c r="H153" s="17">
        <f t="shared" si="9"/>
        <v>0</v>
      </c>
      <c r="I153" s="17">
        <f t="shared" si="9"/>
        <v>0</v>
      </c>
      <c r="J153" s="17">
        <f t="shared" si="9"/>
        <v>0</v>
      </c>
      <c r="K153" s="17">
        <f t="shared" si="9"/>
        <v>0</v>
      </c>
      <c r="L153" s="17">
        <f t="shared" si="9"/>
        <v>0</v>
      </c>
      <c r="M153" s="17">
        <f t="shared" si="9"/>
        <v>0.33333333333333331</v>
      </c>
      <c r="N153" s="17">
        <f t="shared" si="9"/>
        <v>0</v>
      </c>
      <c r="O153" s="17">
        <f t="shared" si="9"/>
        <v>0</v>
      </c>
      <c r="P153" s="17">
        <f t="shared" si="9"/>
        <v>0.33333333333333331</v>
      </c>
      <c r="Q153" s="17">
        <f t="shared" si="9"/>
        <v>0</v>
      </c>
      <c r="R153" s="18" cm="1">
        <f t="array" ref="R153">SUMPRODUCT(ABS(F153:Q153-F152:Q152))</f>
        <v>0.66666666666666663</v>
      </c>
      <c r="S153" s="18" cm="1">
        <f t="array" ref="S153">SUMPRODUCT(ABS(G153:Q153-G152:Q152))</f>
        <v>0.33333333333333331</v>
      </c>
    </row>
    <row r="154" spans="1:19" x14ac:dyDescent="0.3">
      <c r="A154" s="2" t="s">
        <v>301</v>
      </c>
      <c r="B154" s="2">
        <v>3</v>
      </c>
      <c r="C154" s="2" t="s">
        <v>22</v>
      </c>
      <c r="D154" s="2" t="s">
        <v>302</v>
      </c>
      <c r="F154" s="17">
        <f t="shared" si="7"/>
        <v>0.66666666666666663</v>
      </c>
      <c r="G154" s="17">
        <f t="shared" si="9"/>
        <v>0</v>
      </c>
      <c r="H154" s="17">
        <f t="shared" si="9"/>
        <v>0</v>
      </c>
      <c r="I154" s="17">
        <f t="shared" si="9"/>
        <v>0</v>
      </c>
      <c r="J154" s="17">
        <f t="shared" si="9"/>
        <v>0</v>
      </c>
      <c r="K154" s="17">
        <f t="shared" si="9"/>
        <v>0</v>
      </c>
      <c r="L154" s="17">
        <f t="shared" si="9"/>
        <v>0</v>
      </c>
      <c r="M154" s="17">
        <f t="shared" si="9"/>
        <v>0.33333333333333331</v>
      </c>
      <c r="N154" s="17">
        <f t="shared" si="9"/>
        <v>0</v>
      </c>
      <c r="O154" s="17">
        <f t="shared" si="9"/>
        <v>0</v>
      </c>
      <c r="P154" s="17">
        <f t="shared" si="9"/>
        <v>0</v>
      </c>
      <c r="Q154" s="17">
        <f t="shared" si="9"/>
        <v>0</v>
      </c>
      <c r="R154" s="18" cm="1">
        <f t="array" ref="R154">SUMPRODUCT(ABS(F154:Q154-F153:Q153))</f>
        <v>0.66666666666666663</v>
      </c>
      <c r="S154" s="18" cm="1">
        <f t="array" ref="S154">SUMPRODUCT(ABS(G154:Q154-G153:Q153))</f>
        <v>0.33333333333333331</v>
      </c>
    </row>
    <row r="155" spans="1:19" x14ac:dyDescent="0.3">
      <c r="A155" s="2" t="s">
        <v>303</v>
      </c>
      <c r="B155" s="2">
        <v>3</v>
      </c>
      <c r="C155" s="2" t="s">
        <v>304</v>
      </c>
      <c r="D155" s="2" t="s">
        <v>305</v>
      </c>
      <c r="F155" s="17">
        <f t="shared" si="7"/>
        <v>0.33333333333333331</v>
      </c>
      <c r="G155" s="17">
        <f t="shared" si="9"/>
        <v>0</v>
      </c>
      <c r="H155" s="17">
        <f t="shared" si="9"/>
        <v>0</v>
      </c>
      <c r="I155" s="17">
        <f t="shared" si="9"/>
        <v>0.33333333333333331</v>
      </c>
      <c r="J155" s="17">
        <f t="shared" si="9"/>
        <v>0</v>
      </c>
      <c r="K155" s="17">
        <f t="shared" si="9"/>
        <v>0</v>
      </c>
      <c r="L155" s="17">
        <f t="shared" si="9"/>
        <v>0</v>
      </c>
      <c r="M155" s="17">
        <f t="shared" si="9"/>
        <v>0.33333333333333331</v>
      </c>
      <c r="N155" s="17">
        <f t="shared" si="9"/>
        <v>0</v>
      </c>
      <c r="O155" s="17">
        <f t="shared" si="9"/>
        <v>0</v>
      </c>
      <c r="P155" s="17">
        <f t="shared" si="9"/>
        <v>0</v>
      </c>
      <c r="Q155" s="17">
        <f t="shared" si="9"/>
        <v>0</v>
      </c>
      <c r="R155" s="18" cm="1">
        <f t="array" ref="R155">SUMPRODUCT(ABS(F155:Q155-F154:Q154))</f>
        <v>0.66666666666666663</v>
      </c>
      <c r="S155" s="18" cm="1">
        <f t="array" ref="S155">SUMPRODUCT(ABS(G155:Q155-G154:Q154))</f>
        <v>0.33333333333333331</v>
      </c>
    </row>
    <row r="156" spans="1:19" x14ac:dyDescent="0.3">
      <c r="A156" s="2" t="s">
        <v>306</v>
      </c>
      <c r="B156" s="2">
        <v>9</v>
      </c>
      <c r="C156" s="2" t="s">
        <v>248</v>
      </c>
      <c r="D156" s="2" t="s">
        <v>18</v>
      </c>
      <c r="F156" s="17">
        <f t="shared" si="7"/>
        <v>0.66666666666666663</v>
      </c>
      <c r="G156" s="17">
        <f t="shared" si="9"/>
        <v>0</v>
      </c>
      <c r="H156" s="17">
        <f t="shared" si="9"/>
        <v>0</v>
      </c>
      <c r="I156" s="17">
        <f t="shared" si="9"/>
        <v>0.33333333333333331</v>
      </c>
      <c r="J156" s="17">
        <f t="shared" si="9"/>
        <v>0</v>
      </c>
      <c r="K156" s="17">
        <f t="shared" si="9"/>
        <v>0</v>
      </c>
      <c r="L156" s="17">
        <f t="shared" si="9"/>
        <v>0</v>
      </c>
      <c r="M156" s="17">
        <f t="shared" si="9"/>
        <v>0</v>
      </c>
      <c r="N156" s="17">
        <f t="shared" si="9"/>
        <v>0</v>
      </c>
      <c r="O156" s="17">
        <f t="shared" si="9"/>
        <v>0</v>
      </c>
      <c r="P156" s="17">
        <f t="shared" si="9"/>
        <v>0</v>
      </c>
      <c r="Q156" s="17">
        <f t="shared" si="9"/>
        <v>0</v>
      </c>
      <c r="R156" s="18" cm="1">
        <f t="array" ref="R156">SUMPRODUCT(ABS(F156:Q156-F155:Q155))</f>
        <v>0.66666666666666663</v>
      </c>
      <c r="S156" s="18" cm="1">
        <f t="array" ref="S156">SUMPRODUCT(ABS(G156:Q156-G155:Q155))</f>
        <v>0.33333333333333331</v>
      </c>
    </row>
    <row r="157" spans="1:19" x14ac:dyDescent="0.3">
      <c r="A157" s="2" t="s">
        <v>307</v>
      </c>
      <c r="B157" s="2">
        <v>8</v>
      </c>
      <c r="C157" s="2" t="s">
        <v>308</v>
      </c>
      <c r="D157" s="2" t="s">
        <v>71</v>
      </c>
      <c r="F157" s="17">
        <f t="shared" si="7"/>
        <v>0.33333333333333331</v>
      </c>
      <c r="G157" s="17">
        <f t="shared" si="9"/>
        <v>0.33333333333333331</v>
      </c>
      <c r="H157" s="17">
        <f t="shared" si="9"/>
        <v>0</v>
      </c>
      <c r="I157" s="17">
        <f t="shared" si="9"/>
        <v>0.33333333333333331</v>
      </c>
      <c r="J157" s="17">
        <f t="shared" si="9"/>
        <v>0</v>
      </c>
      <c r="K157" s="17">
        <f t="shared" si="9"/>
        <v>0</v>
      </c>
      <c r="L157" s="17">
        <f t="shared" si="9"/>
        <v>0</v>
      </c>
      <c r="M157" s="17">
        <f t="shared" si="9"/>
        <v>0</v>
      </c>
      <c r="N157" s="17">
        <f t="shared" si="9"/>
        <v>0</v>
      </c>
      <c r="O157" s="17">
        <f t="shared" si="9"/>
        <v>0</v>
      </c>
      <c r="P157" s="17">
        <f t="shared" si="9"/>
        <v>0</v>
      </c>
      <c r="Q157" s="17">
        <f t="shared" si="9"/>
        <v>0</v>
      </c>
      <c r="R157" s="18" cm="1">
        <f t="array" ref="R157">SUMPRODUCT(ABS(F157:Q157-F156:Q156))</f>
        <v>0.66666666666666663</v>
      </c>
      <c r="S157" s="18" cm="1">
        <f t="array" ref="S157">SUMPRODUCT(ABS(G157:Q157-G156:Q156))</f>
        <v>0.33333333333333331</v>
      </c>
    </row>
    <row r="158" spans="1:19" x14ac:dyDescent="0.3">
      <c r="A158" s="2" t="s">
        <v>309</v>
      </c>
      <c r="B158" s="2">
        <v>5</v>
      </c>
      <c r="C158" s="2" t="s">
        <v>248</v>
      </c>
      <c r="D158" s="2" t="s">
        <v>310</v>
      </c>
      <c r="F158" s="17">
        <f t="shared" si="7"/>
        <v>0.66666666666666663</v>
      </c>
      <c r="G158" s="17">
        <f t="shared" si="9"/>
        <v>0</v>
      </c>
      <c r="H158" s="17">
        <f t="shared" si="9"/>
        <v>0</v>
      </c>
      <c r="I158" s="17">
        <f t="shared" si="9"/>
        <v>0.33333333333333331</v>
      </c>
      <c r="J158" s="17">
        <f t="shared" si="9"/>
        <v>0</v>
      </c>
      <c r="K158" s="17">
        <f t="shared" si="9"/>
        <v>0</v>
      </c>
      <c r="L158" s="17">
        <f t="shared" si="9"/>
        <v>0</v>
      </c>
      <c r="M158" s="17">
        <f t="shared" si="9"/>
        <v>0</v>
      </c>
      <c r="N158" s="17">
        <f t="shared" si="9"/>
        <v>0</v>
      </c>
      <c r="O158" s="17">
        <f t="shared" si="9"/>
        <v>0</v>
      </c>
      <c r="P158" s="17">
        <f t="shared" si="9"/>
        <v>0</v>
      </c>
      <c r="Q158" s="17">
        <f t="shared" si="9"/>
        <v>0</v>
      </c>
      <c r="R158" s="18" cm="1">
        <f t="array" ref="R158">SUMPRODUCT(ABS(F158:Q158-F157:Q157))</f>
        <v>0.66666666666666663</v>
      </c>
      <c r="S158" s="18" cm="1">
        <f t="array" ref="S158">SUMPRODUCT(ABS(G158:Q158-G157:Q157))</f>
        <v>0.33333333333333331</v>
      </c>
    </row>
    <row r="159" spans="1:19" x14ac:dyDescent="0.3">
      <c r="A159" s="2" t="s">
        <v>311</v>
      </c>
      <c r="B159" s="2">
        <v>25</v>
      </c>
      <c r="C159" s="2" t="s">
        <v>5</v>
      </c>
      <c r="D159" s="2" t="s">
        <v>287</v>
      </c>
      <c r="F159" s="17">
        <f t="shared" si="7"/>
        <v>1</v>
      </c>
      <c r="G159" s="17">
        <f t="shared" si="9"/>
        <v>0</v>
      </c>
      <c r="H159" s="17">
        <f t="shared" si="9"/>
        <v>0</v>
      </c>
      <c r="I159" s="17">
        <f t="shared" si="9"/>
        <v>0</v>
      </c>
      <c r="J159" s="17">
        <f t="shared" si="9"/>
        <v>0</v>
      </c>
      <c r="K159" s="17">
        <f t="shared" si="9"/>
        <v>0</v>
      </c>
      <c r="L159" s="17">
        <f t="shared" si="9"/>
        <v>0</v>
      </c>
      <c r="M159" s="17">
        <f t="shared" si="9"/>
        <v>0</v>
      </c>
      <c r="N159" s="17">
        <f t="shared" si="9"/>
        <v>0</v>
      </c>
      <c r="O159" s="17">
        <f t="shared" si="9"/>
        <v>0</v>
      </c>
      <c r="P159" s="17">
        <f t="shared" si="9"/>
        <v>0</v>
      </c>
      <c r="Q159" s="17">
        <f t="shared" si="9"/>
        <v>0</v>
      </c>
      <c r="R159" s="18" cm="1">
        <f t="array" ref="R159">SUMPRODUCT(ABS(F159:Q159-F158:Q158))</f>
        <v>0.66666666666666674</v>
      </c>
      <c r="S159" s="18" cm="1">
        <f t="array" ref="S159">SUMPRODUCT(ABS(G159:Q159-G158:Q158))</f>
        <v>0.33333333333333331</v>
      </c>
    </row>
    <row r="160" spans="1:19" x14ac:dyDescent="0.3">
      <c r="A160" s="2" t="s">
        <v>312</v>
      </c>
      <c r="B160" s="2">
        <v>7</v>
      </c>
      <c r="C160" s="2" t="s">
        <v>22</v>
      </c>
      <c r="D160" s="2" t="s">
        <v>313</v>
      </c>
      <c r="F160" s="17">
        <f t="shared" si="7"/>
        <v>0.66666666666666663</v>
      </c>
      <c r="G160" s="17">
        <f t="shared" si="9"/>
        <v>0</v>
      </c>
      <c r="H160" s="17">
        <f t="shared" si="9"/>
        <v>0</v>
      </c>
      <c r="I160" s="17">
        <f t="shared" si="9"/>
        <v>0</v>
      </c>
      <c r="J160" s="17">
        <f t="shared" si="9"/>
        <v>0</v>
      </c>
      <c r="K160" s="17">
        <f t="shared" si="9"/>
        <v>0</v>
      </c>
      <c r="L160" s="17">
        <f t="shared" si="9"/>
        <v>0</v>
      </c>
      <c r="M160" s="17">
        <f t="shared" si="9"/>
        <v>0.33333333333333331</v>
      </c>
      <c r="N160" s="17">
        <f t="shared" si="9"/>
        <v>0</v>
      </c>
      <c r="O160" s="17">
        <f t="shared" si="9"/>
        <v>0</v>
      </c>
      <c r="P160" s="17">
        <f t="shared" si="9"/>
        <v>0</v>
      </c>
      <c r="Q160" s="17">
        <f t="shared" si="9"/>
        <v>0</v>
      </c>
      <c r="R160" s="18" cm="1">
        <f t="array" ref="R160">SUMPRODUCT(ABS(F160:Q160-F159:Q159))</f>
        <v>0.66666666666666674</v>
      </c>
      <c r="S160" s="18" cm="1">
        <f t="array" ref="S160">SUMPRODUCT(ABS(G160:Q160-G159:Q159))</f>
        <v>0.33333333333333331</v>
      </c>
    </row>
    <row r="161" spans="1:19" x14ac:dyDescent="0.3">
      <c r="A161" s="2" t="s">
        <v>314</v>
      </c>
      <c r="B161" s="2">
        <v>16</v>
      </c>
      <c r="C161" s="2" t="s">
        <v>300</v>
      </c>
      <c r="D161" s="2" t="s">
        <v>296</v>
      </c>
      <c r="F161" s="17">
        <f t="shared" si="7"/>
        <v>0.33333333333333331</v>
      </c>
      <c r="G161" s="17">
        <f t="shared" si="9"/>
        <v>0</v>
      </c>
      <c r="H161" s="17">
        <f t="shared" si="9"/>
        <v>0</v>
      </c>
      <c r="I161" s="17">
        <f t="shared" si="9"/>
        <v>0</v>
      </c>
      <c r="J161" s="17">
        <f t="shared" si="9"/>
        <v>0</v>
      </c>
      <c r="K161" s="17">
        <f t="shared" si="9"/>
        <v>0</v>
      </c>
      <c r="L161" s="17">
        <f t="shared" si="9"/>
        <v>0</v>
      </c>
      <c r="M161" s="17">
        <f t="shared" si="9"/>
        <v>0.33333333333333331</v>
      </c>
      <c r="N161" s="17">
        <f t="shared" si="9"/>
        <v>0</v>
      </c>
      <c r="O161" s="17">
        <f t="shared" si="9"/>
        <v>0</v>
      </c>
      <c r="P161" s="17">
        <f t="shared" si="9"/>
        <v>0.33333333333333331</v>
      </c>
      <c r="Q161" s="17">
        <f t="shared" si="9"/>
        <v>0</v>
      </c>
      <c r="R161" s="18" cm="1">
        <f t="array" ref="R161">SUMPRODUCT(ABS(F161:Q161-F160:Q160))</f>
        <v>0.66666666666666663</v>
      </c>
      <c r="S161" s="18" cm="1">
        <f t="array" ref="S161">SUMPRODUCT(ABS(G161:Q161-G160:Q160))</f>
        <v>0.33333333333333331</v>
      </c>
    </row>
    <row r="162" spans="1:19" x14ac:dyDescent="0.3">
      <c r="A162" s="2" t="s">
        <v>315</v>
      </c>
      <c r="B162" s="2">
        <v>13</v>
      </c>
      <c r="C162" s="2" t="s">
        <v>132</v>
      </c>
      <c r="D162" s="2" t="s">
        <v>18</v>
      </c>
      <c r="F162" s="17">
        <f t="shared" si="7"/>
        <v>0.66666666666666663</v>
      </c>
      <c r="G162" s="17">
        <f t="shared" si="9"/>
        <v>0</v>
      </c>
      <c r="H162" s="17">
        <f t="shared" si="9"/>
        <v>0</v>
      </c>
      <c r="I162" s="17">
        <f t="shared" si="9"/>
        <v>0</v>
      </c>
      <c r="J162" s="17">
        <f t="shared" si="9"/>
        <v>0</v>
      </c>
      <c r="K162" s="17">
        <f t="shared" si="9"/>
        <v>0</v>
      </c>
      <c r="L162" s="17">
        <f t="shared" si="9"/>
        <v>0</v>
      </c>
      <c r="M162" s="17">
        <f t="shared" si="9"/>
        <v>0</v>
      </c>
      <c r="N162" s="17">
        <f t="shared" si="9"/>
        <v>0</v>
      </c>
      <c r="O162" s="17">
        <f t="shared" si="9"/>
        <v>0</v>
      </c>
      <c r="P162" s="17">
        <f t="shared" si="9"/>
        <v>0.33333333333333331</v>
      </c>
      <c r="Q162" s="17">
        <f t="shared" si="9"/>
        <v>0</v>
      </c>
      <c r="R162" s="18" cm="1">
        <f t="array" ref="R162">SUMPRODUCT(ABS(F162:Q162-F161:Q161))</f>
        <v>0.66666666666666663</v>
      </c>
      <c r="S162" s="18" cm="1">
        <f t="array" ref="S162">SUMPRODUCT(ABS(G162:Q162-G161:Q161))</f>
        <v>0.33333333333333331</v>
      </c>
    </row>
    <row r="163" spans="1:19" x14ac:dyDescent="0.3">
      <c r="A163" s="2" t="s">
        <v>316</v>
      </c>
      <c r="B163" s="2">
        <v>2</v>
      </c>
      <c r="C163" s="2" t="s">
        <v>191</v>
      </c>
      <c r="D163" s="2" t="s">
        <v>317</v>
      </c>
      <c r="F163" s="17">
        <f t="shared" si="7"/>
        <v>0</v>
      </c>
      <c r="G163" s="17">
        <f t="shared" si="9"/>
        <v>0</v>
      </c>
      <c r="H163" s="17">
        <f t="shared" si="9"/>
        <v>0.33333333333333331</v>
      </c>
      <c r="I163" s="17">
        <f t="shared" si="9"/>
        <v>0</v>
      </c>
      <c r="J163" s="17">
        <f t="shared" si="9"/>
        <v>0</v>
      </c>
      <c r="K163" s="17">
        <f t="shared" si="9"/>
        <v>0</v>
      </c>
      <c r="L163" s="17">
        <f t="shared" si="9"/>
        <v>0.33333333333333331</v>
      </c>
      <c r="M163" s="17">
        <f t="shared" si="9"/>
        <v>0</v>
      </c>
      <c r="N163" s="17">
        <f t="shared" si="9"/>
        <v>0</v>
      </c>
      <c r="O163" s="17">
        <f t="shared" si="9"/>
        <v>0</v>
      </c>
      <c r="P163" s="17">
        <f t="shared" si="9"/>
        <v>0.33333333333333331</v>
      </c>
      <c r="Q163" s="17">
        <f t="shared" si="9"/>
        <v>0</v>
      </c>
      <c r="R163" s="18" cm="1">
        <f t="array" ref="R163">SUMPRODUCT(ABS(F163:Q163-F162:Q162))</f>
        <v>1.3333333333333333</v>
      </c>
      <c r="S163" s="18" cm="1">
        <f t="array" ref="S163">SUMPRODUCT(ABS(G163:Q163-G162:Q162))</f>
        <v>0.66666666666666663</v>
      </c>
    </row>
    <row r="164" spans="1:19" x14ac:dyDescent="0.3">
      <c r="A164" s="2" t="s">
        <v>318</v>
      </c>
      <c r="B164" s="2">
        <v>12</v>
      </c>
      <c r="C164" s="2" t="s">
        <v>169</v>
      </c>
      <c r="D164" s="2" t="s">
        <v>193</v>
      </c>
      <c r="F164" s="17">
        <f t="shared" si="7"/>
        <v>0.33333333333333331</v>
      </c>
      <c r="G164" s="17">
        <f t="shared" si="9"/>
        <v>0</v>
      </c>
      <c r="H164" s="17">
        <f t="shared" si="9"/>
        <v>0.33333333333333331</v>
      </c>
      <c r="I164" s="17">
        <f t="shared" si="9"/>
        <v>0</v>
      </c>
      <c r="J164" s="17">
        <f t="shared" si="9"/>
        <v>0</v>
      </c>
      <c r="K164" s="17">
        <f t="shared" si="9"/>
        <v>0</v>
      </c>
      <c r="L164" s="17">
        <f t="shared" si="9"/>
        <v>0.33333333333333331</v>
      </c>
      <c r="M164" s="17">
        <f t="shared" si="9"/>
        <v>0</v>
      </c>
      <c r="N164" s="17">
        <f t="shared" si="9"/>
        <v>0</v>
      </c>
      <c r="O164" s="17">
        <f t="shared" si="9"/>
        <v>0</v>
      </c>
      <c r="P164" s="17">
        <f t="shared" si="9"/>
        <v>0</v>
      </c>
      <c r="Q164" s="17">
        <f t="shared" si="9"/>
        <v>0</v>
      </c>
      <c r="R164" s="18" cm="1">
        <f t="array" ref="R164">SUMPRODUCT(ABS(F164:Q164-F163:Q163))</f>
        <v>0.66666666666666663</v>
      </c>
      <c r="S164" s="18" cm="1">
        <f t="array" ref="S164">SUMPRODUCT(ABS(G164:Q164-G163:Q163))</f>
        <v>0.33333333333333331</v>
      </c>
    </row>
    <row r="165" spans="1:19" x14ac:dyDescent="0.3">
      <c r="A165" s="2" t="s">
        <v>319</v>
      </c>
      <c r="B165" s="2">
        <v>42</v>
      </c>
      <c r="C165" s="2" t="s">
        <v>320</v>
      </c>
      <c r="D165" s="2" t="s">
        <v>103</v>
      </c>
      <c r="F165" s="17">
        <f t="shared" si="7"/>
        <v>0</v>
      </c>
      <c r="G165" s="17">
        <f t="shared" si="9"/>
        <v>0</v>
      </c>
      <c r="H165" s="17">
        <f t="shared" si="9"/>
        <v>0.33333333333333331</v>
      </c>
      <c r="I165" s="17">
        <f t="shared" si="9"/>
        <v>0</v>
      </c>
      <c r="J165" s="17">
        <f t="shared" si="9"/>
        <v>0</v>
      </c>
      <c r="K165" s="17">
        <f t="shared" si="9"/>
        <v>0.33333333333333331</v>
      </c>
      <c r="L165" s="17">
        <f t="shared" si="9"/>
        <v>0.33333333333333331</v>
      </c>
      <c r="M165" s="17">
        <f t="shared" si="9"/>
        <v>0</v>
      </c>
      <c r="N165" s="17">
        <f t="shared" si="9"/>
        <v>0</v>
      </c>
      <c r="O165" s="17">
        <f t="shared" si="9"/>
        <v>0</v>
      </c>
      <c r="P165" s="17">
        <f t="shared" si="9"/>
        <v>0</v>
      </c>
      <c r="Q165" s="17">
        <f t="shared" si="9"/>
        <v>0</v>
      </c>
      <c r="R165" s="18" cm="1">
        <f t="array" ref="R165">SUMPRODUCT(ABS(F165:Q165-F164:Q164))</f>
        <v>0.66666666666666663</v>
      </c>
      <c r="S165" s="18" cm="1">
        <f t="array" ref="S165">SUMPRODUCT(ABS(G165:Q165-G164:Q164))</f>
        <v>0.33333333333333331</v>
      </c>
    </row>
    <row r="166" spans="1:19" x14ac:dyDescent="0.3">
      <c r="A166" s="2" t="s">
        <v>321</v>
      </c>
      <c r="B166" s="2">
        <v>1</v>
      </c>
      <c r="C166" s="2" t="s">
        <v>322</v>
      </c>
      <c r="D166" s="2" t="s">
        <v>95</v>
      </c>
      <c r="F166" s="17">
        <f t="shared" si="7"/>
        <v>0.33333333333333331</v>
      </c>
      <c r="G166" s="17">
        <f t="shared" si="9"/>
        <v>0</v>
      </c>
      <c r="H166" s="17">
        <f t="shared" si="9"/>
        <v>0.33333333333333331</v>
      </c>
      <c r="I166" s="17">
        <f t="shared" si="9"/>
        <v>0</v>
      </c>
      <c r="J166" s="17">
        <f t="shared" si="9"/>
        <v>0</v>
      </c>
      <c r="K166" s="17">
        <f t="shared" si="9"/>
        <v>0.33333333333333331</v>
      </c>
      <c r="L166" s="17">
        <f t="shared" si="9"/>
        <v>0</v>
      </c>
      <c r="M166" s="17">
        <f t="shared" si="9"/>
        <v>0</v>
      </c>
      <c r="N166" s="17">
        <f t="shared" si="9"/>
        <v>0</v>
      </c>
      <c r="O166" s="17">
        <f t="shared" si="9"/>
        <v>0</v>
      </c>
      <c r="P166" s="17">
        <f t="shared" si="9"/>
        <v>0</v>
      </c>
      <c r="Q166" s="17">
        <f t="shared" si="9"/>
        <v>0</v>
      </c>
      <c r="R166" s="18" cm="1">
        <f t="array" ref="R166">SUMPRODUCT(ABS(F166:Q166-F165:Q165))</f>
        <v>0.66666666666666663</v>
      </c>
      <c r="S166" s="18" cm="1">
        <f t="array" ref="S166">SUMPRODUCT(ABS(G166:Q166-G165:Q165))</f>
        <v>0.33333333333333331</v>
      </c>
    </row>
    <row r="167" spans="1:19" x14ac:dyDescent="0.3">
      <c r="A167" s="2" t="s">
        <v>323</v>
      </c>
      <c r="B167" s="2">
        <v>4</v>
      </c>
      <c r="C167" s="2" t="s">
        <v>324</v>
      </c>
      <c r="D167" s="2" t="s">
        <v>62</v>
      </c>
      <c r="F167" s="17">
        <f t="shared" si="7"/>
        <v>0</v>
      </c>
      <c r="G167" s="17">
        <f t="shared" si="9"/>
        <v>0</v>
      </c>
      <c r="H167" s="17">
        <f t="shared" si="9"/>
        <v>0.33333333333333331</v>
      </c>
      <c r="I167" s="17">
        <f t="shared" si="9"/>
        <v>0.33333333333333331</v>
      </c>
      <c r="J167" s="17">
        <f t="shared" si="9"/>
        <v>0</v>
      </c>
      <c r="K167" s="17">
        <f t="shared" si="9"/>
        <v>0.33333333333333331</v>
      </c>
      <c r="L167" s="17">
        <f t="shared" si="9"/>
        <v>0</v>
      </c>
      <c r="M167" s="17">
        <f t="shared" si="9"/>
        <v>0</v>
      </c>
      <c r="N167" s="17">
        <f t="shared" si="9"/>
        <v>0</v>
      </c>
      <c r="O167" s="17">
        <f t="shared" si="9"/>
        <v>0</v>
      </c>
      <c r="P167" s="17">
        <f t="shared" si="9"/>
        <v>0</v>
      </c>
      <c r="Q167" s="17">
        <f t="shared" si="9"/>
        <v>0</v>
      </c>
      <c r="R167" s="18" cm="1">
        <f t="array" ref="R167">SUMPRODUCT(ABS(F167:Q167-F166:Q166))</f>
        <v>0.66666666666666663</v>
      </c>
      <c r="S167" s="18" cm="1">
        <f t="array" ref="S167">SUMPRODUCT(ABS(G167:Q167-G166:Q166))</f>
        <v>0.33333333333333331</v>
      </c>
    </row>
    <row r="168" spans="1:19" x14ac:dyDescent="0.3">
      <c r="A168" s="2" t="s">
        <v>325</v>
      </c>
      <c r="B168" s="2">
        <v>3</v>
      </c>
      <c r="C168" s="2" t="s">
        <v>326</v>
      </c>
      <c r="D168" s="2" t="s">
        <v>85</v>
      </c>
      <c r="F168" s="17">
        <f t="shared" si="7"/>
        <v>0.33333333333333331</v>
      </c>
      <c r="G168" s="17">
        <f t="shared" si="9"/>
        <v>0</v>
      </c>
      <c r="H168" s="17">
        <f t="shared" si="9"/>
        <v>0.33333333333333331</v>
      </c>
      <c r="I168" s="17">
        <f t="shared" si="9"/>
        <v>0.33333333333333331</v>
      </c>
      <c r="J168" s="17">
        <f t="shared" si="9"/>
        <v>0</v>
      </c>
      <c r="K168" s="17">
        <f t="shared" si="9"/>
        <v>0</v>
      </c>
      <c r="L168" s="17">
        <f t="shared" si="9"/>
        <v>0</v>
      </c>
      <c r="M168" s="17">
        <f t="shared" si="9"/>
        <v>0</v>
      </c>
      <c r="N168" s="17">
        <f t="shared" si="9"/>
        <v>0</v>
      </c>
      <c r="O168" s="17">
        <f t="shared" si="9"/>
        <v>0</v>
      </c>
      <c r="P168" s="17">
        <f t="shared" si="9"/>
        <v>0</v>
      </c>
      <c r="Q168" s="17">
        <f t="shared" si="9"/>
        <v>0</v>
      </c>
      <c r="R168" s="18" cm="1">
        <f t="array" ref="R168">SUMPRODUCT(ABS(F168:Q168-F167:Q167))</f>
        <v>0.66666666666666663</v>
      </c>
      <c r="S168" s="18" cm="1">
        <f t="array" ref="S168">SUMPRODUCT(ABS(G168:Q168-G167:Q167))</f>
        <v>0.33333333333333331</v>
      </c>
    </row>
    <row r="169" spans="1:19" x14ac:dyDescent="0.3">
      <c r="A169" s="2" t="s">
        <v>327</v>
      </c>
      <c r="B169" s="2">
        <v>9</v>
      </c>
      <c r="C169" s="2" t="s">
        <v>248</v>
      </c>
      <c r="D169" s="2" t="s">
        <v>195</v>
      </c>
      <c r="F169" s="17">
        <f t="shared" si="7"/>
        <v>0.66666666666666663</v>
      </c>
      <c r="G169" s="17">
        <f t="shared" si="9"/>
        <v>0</v>
      </c>
      <c r="H169" s="17">
        <f t="shared" si="9"/>
        <v>0</v>
      </c>
      <c r="I169" s="17">
        <f t="shared" si="9"/>
        <v>0.33333333333333331</v>
      </c>
      <c r="J169" s="17">
        <f t="shared" si="9"/>
        <v>0</v>
      </c>
      <c r="K169" s="17">
        <f t="shared" si="9"/>
        <v>0</v>
      </c>
      <c r="L169" s="17">
        <f t="shared" si="9"/>
        <v>0</v>
      </c>
      <c r="M169" s="17">
        <f t="shared" si="9"/>
        <v>0</v>
      </c>
      <c r="N169" s="17">
        <f t="shared" si="9"/>
        <v>0</v>
      </c>
      <c r="O169" s="17">
        <f t="shared" si="9"/>
        <v>0</v>
      </c>
      <c r="P169" s="17">
        <f t="shared" si="9"/>
        <v>0</v>
      </c>
      <c r="Q169" s="17">
        <f t="shared" si="9"/>
        <v>0</v>
      </c>
      <c r="R169" s="18" cm="1">
        <f t="array" ref="R169">SUMPRODUCT(ABS(F169:Q169-F168:Q168))</f>
        <v>0.66666666666666663</v>
      </c>
      <c r="S169" s="18" cm="1">
        <f t="array" ref="S169">SUMPRODUCT(ABS(G169:Q169-G168:Q168))</f>
        <v>0.33333333333333331</v>
      </c>
    </row>
    <row r="170" spans="1:19" x14ac:dyDescent="0.3">
      <c r="A170" s="2" t="s">
        <v>328</v>
      </c>
      <c r="B170" s="2">
        <v>14</v>
      </c>
      <c r="C170" s="2" t="s">
        <v>113</v>
      </c>
      <c r="D170" s="2" t="s">
        <v>41</v>
      </c>
      <c r="F170" s="17">
        <f t="shared" si="7"/>
        <v>0.33333333333333331</v>
      </c>
      <c r="G170" s="17">
        <f t="shared" si="9"/>
        <v>0</v>
      </c>
      <c r="H170" s="17">
        <f t="shared" si="9"/>
        <v>0</v>
      </c>
      <c r="I170" s="17">
        <f t="shared" si="9"/>
        <v>0.33333333333333331</v>
      </c>
      <c r="J170" s="17">
        <f t="shared" si="9"/>
        <v>0</v>
      </c>
      <c r="K170" s="17">
        <f t="shared" si="9"/>
        <v>0</v>
      </c>
      <c r="L170" s="17">
        <f t="shared" si="9"/>
        <v>0.33333333333333331</v>
      </c>
      <c r="M170" s="17">
        <f t="shared" si="9"/>
        <v>0</v>
      </c>
      <c r="N170" s="17">
        <f t="shared" si="9"/>
        <v>0</v>
      </c>
      <c r="O170" s="17">
        <f t="shared" si="9"/>
        <v>0</v>
      </c>
      <c r="P170" s="17">
        <f t="shared" si="9"/>
        <v>0</v>
      </c>
      <c r="Q170" s="17">
        <f t="shared" si="9"/>
        <v>0</v>
      </c>
      <c r="R170" s="18" cm="1">
        <f t="array" ref="R170">SUMPRODUCT(ABS(F170:Q170-F169:Q169))</f>
        <v>0.66666666666666663</v>
      </c>
      <c r="S170" s="18" cm="1">
        <f t="array" ref="S170">SUMPRODUCT(ABS(G170:Q170-G169:Q169))</f>
        <v>0.33333333333333331</v>
      </c>
    </row>
    <row r="171" spans="1:19" x14ac:dyDescent="0.3">
      <c r="A171" s="2" t="s">
        <v>329</v>
      </c>
      <c r="B171" s="2">
        <v>7</v>
      </c>
      <c r="C171" s="2" t="s">
        <v>248</v>
      </c>
      <c r="D171" s="2" t="s">
        <v>47</v>
      </c>
      <c r="F171" s="17">
        <f t="shared" si="7"/>
        <v>0.66666666666666663</v>
      </c>
      <c r="G171" s="17">
        <f t="shared" si="9"/>
        <v>0</v>
      </c>
      <c r="H171" s="17">
        <f t="shared" si="9"/>
        <v>0</v>
      </c>
      <c r="I171" s="17">
        <f t="shared" si="9"/>
        <v>0.33333333333333331</v>
      </c>
      <c r="J171" s="17">
        <f t="shared" si="9"/>
        <v>0</v>
      </c>
      <c r="K171" s="17">
        <f t="shared" si="9"/>
        <v>0</v>
      </c>
      <c r="L171" s="17">
        <f t="shared" si="9"/>
        <v>0</v>
      </c>
      <c r="M171" s="17">
        <f t="shared" si="9"/>
        <v>0</v>
      </c>
      <c r="N171" s="17">
        <f t="shared" si="9"/>
        <v>0</v>
      </c>
      <c r="O171" s="17">
        <f t="shared" si="9"/>
        <v>0</v>
      </c>
      <c r="P171" s="17">
        <f t="shared" si="9"/>
        <v>0</v>
      </c>
      <c r="Q171" s="17">
        <f t="shared" si="9"/>
        <v>0</v>
      </c>
      <c r="R171" s="18" cm="1">
        <f t="array" ref="R171">SUMPRODUCT(ABS(F171:Q171-F170:Q170))</f>
        <v>0.66666666666666663</v>
      </c>
      <c r="S171" s="18" cm="1">
        <f t="array" ref="S171">SUMPRODUCT(ABS(G171:Q171-G170:Q170))</f>
        <v>0.33333333333333331</v>
      </c>
    </row>
    <row r="172" spans="1:19" x14ac:dyDescent="0.3">
      <c r="A172" s="2" t="s">
        <v>330</v>
      </c>
      <c r="B172" s="2">
        <v>7</v>
      </c>
      <c r="C172" s="2" t="s">
        <v>5</v>
      </c>
      <c r="D172" s="2" t="s">
        <v>287</v>
      </c>
      <c r="F172" s="17">
        <f t="shared" si="7"/>
        <v>1</v>
      </c>
      <c r="G172" s="17">
        <f t="shared" si="9"/>
        <v>0</v>
      </c>
      <c r="H172" s="17">
        <f t="shared" si="9"/>
        <v>0</v>
      </c>
      <c r="I172" s="17">
        <f t="shared" si="9"/>
        <v>0</v>
      </c>
      <c r="J172" s="17">
        <f t="shared" si="9"/>
        <v>0</v>
      </c>
      <c r="K172" s="17">
        <f t="shared" si="9"/>
        <v>0</v>
      </c>
      <c r="L172" s="17">
        <f t="shared" si="9"/>
        <v>0</v>
      </c>
      <c r="M172" s="17">
        <f t="shared" si="9"/>
        <v>0</v>
      </c>
      <c r="N172" s="17">
        <f t="shared" si="9"/>
        <v>0</v>
      </c>
      <c r="O172" s="17">
        <f t="shared" si="9"/>
        <v>0</v>
      </c>
      <c r="P172" s="17">
        <f t="shared" si="9"/>
        <v>0</v>
      </c>
      <c r="Q172" s="17">
        <f t="shared" si="9"/>
        <v>0</v>
      </c>
      <c r="R172" s="18" cm="1">
        <f t="array" ref="R172">SUMPRODUCT(ABS(F172:Q172-F171:Q171))</f>
        <v>0.66666666666666674</v>
      </c>
      <c r="S172" s="18" cm="1">
        <f t="array" ref="S172">SUMPRODUCT(ABS(G172:Q172-G171:Q171))</f>
        <v>0.33333333333333331</v>
      </c>
    </row>
    <row r="173" spans="1:19" x14ac:dyDescent="0.3">
      <c r="A173" s="2" t="s">
        <v>331</v>
      </c>
      <c r="B173" s="2">
        <v>11</v>
      </c>
      <c r="C173" s="2" t="s">
        <v>202</v>
      </c>
      <c r="D173" s="2" t="s">
        <v>231</v>
      </c>
      <c r="F173" s="17">
        <f t="shared" si="7"/>
        <v>0.66666666666666663</v>
      </c>
      <c r="G173" s="17">
        <f t="shared" si="9"/>
        <v>0</v>
      </c>
      <c r="H173" s="17">
        <f t="shared" si="9"/>
        <v>0.33333333333333331</v>
      </c>
      <c r="I173" s="17">
        <f t="shared" si="9"/>
        <v>0</v>
      </c>
      <c r="J173" s="17">
        <f t="shared" si="9"/>
        <v>0</v>
      </c>
      <c r="K173" s="17">
        <f t="shared" si="9"/>
        <v>0</v>
      </c>
      <c r="L173" s="17">
        <f t="shared" si="9"/>
        <v>0</v>
      </c>
      <c r="M173" s="17">
        <f t="shared" si="9"/>
        <v>0</v>
      </c>
      <c r="N173" s="17">
        <f t="shared" si="9"/>
        <v>0</v>
      </c>
      <c r="O173" s="17">
        <f t="shared" si="9"/>
        <v>0</v>
      </c>
      <c r="P173" s="17">
        <f t="shared" si="9"/>
        <v>0</v>
      </c>
      <c r="Q173" s="17">
        <f t="shared" si="9"/>
        <v>0</v>
      </c>
      <c r="R173" s="18" cm="1">
        <f t="array" ref="R173">SUMPRODUCT(ABS(F173:Q173-F172:Q172))</f>
        <v>0.66666666666666674</v>
      </c>
      <c r="S173" s="18" cm="1">
        <f t="array" ref="S173">SUMPRODUCT(ABS(G173:Q173-G172:Q172))</f>
        <v>0.33333333333333331</v>
      </c>
    </row>
    <row r="174" spans="1:19" x14ac:dyDescent="0.3">
      <c r="A174" s="2" t="s">
        <v>332</v>
      </c>
      <c r="B174" s="2">
        <v>8</v>
      </c>
      <c r="C174" s="2" t="s">
        <v>5</v>
      </c>
      <c r="D174" s="2" t="s">
        <v>333</v>
      </c>
      <c r="F174" s="17">
        <f t="shared" si="7"/>
        <v>1</v>
      </c>
      <c r="G174" s="17">
        <f t="shared" si="9"/>
        <v>0</v>
      </c>
      <c r="H174" s="17">
        <f t="shared" si="9"/>
        <v>0</v>
      </c>
      <c r="I174" s="17">
        <f t="shared" si="9"/>
        <v>0</v>
      </c>
      <c r="J174" s="17">
        <f t="shared" si="9"/>
        <v>0</v>
      </c>
      <c r="K174" s="17">
        <f t="shared" si="9"/>
        <v>0</v>
      </c>
      <c r="L174" s="17">
        <f t="shared" si="9"/>
        <v>0</v>
      </c>
      <c r="M174" s="17">
        <f t="shared" si="9"/>
        <v>0</v>
      </c>
      <c r="N174" s="17">
        <f t="shared" si="9"/>
        <v>0</v>
      </c>
      <c r="O174" s="17">
        <f t="shared" si="9"/>
        <v>0</v>
      </c>
      <c r="P174" s="17">
        <f t="shared" si="9"/>
        <v>0</v>
      </c>
      <c r="Q174" s="17">
        <f t="shared" si="9"/>
        <v>0</v>
      </c>
      <c r="R174" s="18" cm="1">
        <f t="array" ref="R174">SUMPRODUCT(ABS(F174:Q174-F173:Q173))</f>
        <v>0.66666666666666674</v>
      </c>
      <c r="S174" s="18" cm="1">
        <f t="array" ref="S174">SUMPRODUCT(ABS(G174:Q174-G173:Q173))</f>
        <v>0.33333333333333331</v>
      </c>
    </row>
    <row r="175" spans="1:19" x14ac:dyDescent="0.3">
      <c r="A175" s="2" t="s">
        <v>334</v>
      </c>
      <c r="B175" s="2">
        <v>5</v>
      </c>
      <c r="C175" s="2" t="s">
        <v>43</v>
      </c>
      <c r="D175" s="2" t="s">
        <v>109</v>
      </c>
      <c r="F175" s="17">
        <f t="shared" si="7"/>
        <v>0.66666666666666663</v>
      </c>
      <c r="G175" s="17">
        <f t="shared" si="9"/>
        <v>0</v>
      </c>
      <c r="H175" s="17">
        <f t="shared" ref="G175:Q238" si="10">_xlfn.LET(_xlpm.t," "&amp;$C175&amp;" ",_xlpm.p,SEARCH(" "&amp;H$1&amp;" ",_xlpm.t),IFERROR(ROUND(VALUE(MID(_xlpm.t,_xlpm.p+LEN(H$1)+2,FIND("%",_xlpm.t,_xlpm.p)-_xlpm.p-LEN(H$1)-2))*3/100,0)/3,0))</f>
        <v>0</v>
      </c>
      <c r="I175" s="17">
        <f t="shared" si="10"/>
        <v>0</v>
      </c>
      <c r="J175" s="17">
        <f t="shared" si="10"/>
        <v>0</v>
      </c>
      <c r="K175" s="17">
        <f t="shared" si="10"/>
        <v>0</v>
      </c>
      <c r="L175" s="17">
        <f t="shared" si="10"/>
        <v>0.33333333333333331</v>
      </c>
      <c r="M175" s="17">
        <f t="shared" si="10"/>
        <v>0</v>
      </c>
      <c r="N175" s="17">
        <f t="shared" si="10"/>
        <v>0</v>
      </c>
      <c r="O175" s="17">
        <f t="shared" si="10"/>
        <v>0</v>
      </c>
      <c r="P175" s="17">
        <f t="shared" si="10"/>
        <v>0</v>
      </c>
      <c r="Q175" s="17">
        <f t="shared" si="10"/>
        <v>0</v>
      </c>
      <c r="R175" s="18" cm="1">
        <f t="array" ref="R175">SUMPRODUCT(ABS(F175:Q175-F174:Q174))</f>
        <v>0.66666666666666674</v>
      </c>
      <c r="S175" s="18" cm="1">
        <f t="array" ref="S175">SUMPRODUCT(ABS(G175:Q175-G174:Q174))</f>
        <v>0.33333333333333331</v>
      </c>
    </row>
    <row r="176" spans="1:19" x14ac:dyDescent="0.3">
      <c r="A176" s="2" t="s">
        <v>335</v>
      </c>
      <c r="B176" s="2">
        <v>48</v>
      </c>
      <c r="C176" s="2" t="s">
        <v>200</v>
      </c>
      <c r="D176" s="2" t="s">
        <v>336</v>
      </c>
      <c r="F176" s="17">
        <f t="shared" si="7"/>
        <v>0</v>
      </c>
      <c r="G176" s="17">
        <f t="shared" si="10"/>
        <v>0</v>
      </c>
      <c r="H176" s="17">
        <f t="shared" si="10"/>
        <v>0.33333333333333331</v>
      </c>
      <c r="I176" s="17">
        <f t="shared" si="10"/>
        <v>0</v>
      </c>
      <c r="J176" s="17">
        <f t="shared" si="10"/>
        <v>0</v>
      </c>
      <c r="K176" s="17">
        <f t="shared" si="10"/>
        <v>0</v>
      </c>
      <c r="L176" s="17">
        <f t="shared" si="10"/>
        <v>0.33333333333333331</v>
      </c>
      <c r="M176" s="17">
        <f t="shared" si="10"/>
        <v>0</v>
      </c>
      <c r="N176" s="17">
        <f t="shared" si="10"/>
        <v>0</v>
      </c>
      <c r="O176" s="17">
        <f t="shared" si="10"/>
        <v>0</v>
      </c>
      <c r="P176" s="17">
        <f t="shared" si="10"/>
        <v>0</v>
      </c>
      <c r="Q176" s="17">
        <f t="shared" si="10"/>
        <v>0.33333333333333331</v>
      </c>
      <c r="R176" s="18" cm="1">
        <f t="array" ref="R176">SUMPRODUCT(ABS(F176:Q176-F175:Q175))</f>
        <v>1.3333333333333333</v>
      </c>
      <c r="S176" s="18" cm="1">
        <f t="array" ref="S176">SUMPRODUCT(ABS(G176:Q176-G175:Q175))</f>
        <v>0.66666666666666663</v>
      </c>
    </row>
    <row r="177" spans="1:19" x14ac:dyDescent="0.3">
      <c r="A177" s="2" t="s">
        <v>337</v>
      </c>
      <c r="B177" s="2">
        <v>6</v>
      </c>
      <c r="C177" s="2" t="s">
        <v>169</v>
      </c>
      <c r="D177" s="2" t="s">
        <v>130</v>
      </c>
      <c r="F177" s="17">
        <f t="shared" si="7"/>
        <v>0.33333333333333331</v>
      </c>
      <c r="G177" s="17">
        <f t="shared" si="10"/>
        <v>0</v>
      </c>
      <c r="H177" s="17">
        <f t="shared" si="10"/>
        <v>0.33333333333333331</v>
      </c>
      <c r="I177" s="17">
        <f t="shared" si="10"/>
        <v>0</v>
      </c>
      <c r="J177" s="17">
        <f t="shared" si="10"/>
        <v>0</v>
      </c>
      <c r="K177" s="17">
        <f t="shared" si="10"/>
        <v>0</v>
      </c>
      <c r="L177" s="17">
        <f t="shared" si="10"/>
        <v>0.33333333333333331</v>
      </c>
      <c r="M177" s="17">
        <f t="shared" si="10"/>
        <v>0</v>
      </c>
      <c r="N177" s="17">
        <f t="shared" si="10"/>
        <v>0</v>
      </c>
      <c r="O177" s="17">
        <f t="shared" si="10"/>
        <v>0</v>
      </c>
      <c r="P177" s="17">
        <f t="shared" si="10"/>
        <v>0</v>
      </c>
      <c r="Q177" s="17">
        <f t="shared" si="10"/>
        <v>0</v>
      </c>
      <c r="R177" s="18" cm="1">
        <f t="array" ref="R177">SUMPRODUCT(ABS(F177:Q177-F176:Q176))</f>
        <v>0.66666666666666663</v>
      </c>
      <c r="S177" s="18" cm="1">
        <f t="array" ref="S177">SUMPRODUCT(ABS(G177:Q177-G176:Q176))</f>
        <v>0.33333333333333331</v>
      </c>
    </row>
    <row r="178" spans="1:19" x14ac:dyDescent="0.3">
      <c r="A178" s="2" t="s">
        <v>338</v>
      </c>
      <c r="B178" s="2">
        <v>42</v>
      </c>
      <c r="C178" s="2" t="s">
        <v>200</v>
      </c>
      <c r="D178" s="2" t="s">
        <v>12</v>
      </c>
      <c r="F178" s="17">
        <f t="shared" si="7"/>
        <v>0</v>
      </c>
      <c r="G178" s="17">
        <f t="shared" si="10"/>
        <v>0</v>
      </c>
      <c r="H178" s="17">
        <f t="shared" si="10"/>
        <v>0.33333333333333331</v>
      </c>
      <c r="I178" s="17">
        <f t="shared" si="10"/>
        <v>0</v>
      </c>
      <c r="J178" s="17">
        <f t="shared" si="10"/>
        <v>0</v>
      </c>
      <c r="K178" s="17">
        <f t="shared" si="10"/>
        <v>0</v>
      </c>
      <c r="L178" s="17">
        <f t="shared" si="10"/>
        <v>0.33333333333333331</v>
      </c>
      <c r="M178" s="17">
        <f t="shared" si="10"/>
        <v>0</v>
      </c>
      <c r="N178" s="17">
        <f t="shared" si="10"/>
        <v>0</v>
      </c>
      <c r="O178" s="17">
        <f t="shared" si="10"/>
        <v>0</v>
      </c>
      <c r="P178" s="17">
        <f t="shared" si="10"/>
        <v>0</v>
      </c>
      <c r="Q178" s="17">
        <f t="shared" si="10"/>
        <v>0.33333333333333331</v>
      </c>
      <c r="R178" s="18" cm="1">
        <f t="array" ref="R178">SUMPRODUCT(ABS(F178:Q178-F177:Q177))</f>
        <v>0.66666666666666663</v>
      </c>
      <c r="S178" s="18" cm="1">
        <f t="array" ref="S178">SUMPRODUCT(ABS(G178:Q178-G177:Q177))</f>
        <v>0.33333333333333331</v>
      </c>
    </row>
    <row r="179" spans="1:19" x14ac:dyDescent="0.3">
      <c r="A179" s="2" t="s">
        <v>339</v>
      </c>
      <c r="B179" s="2">
        <v>6</v>
      </c>
      <c r="C179" s="2" t="s">
        <v>340</v>
      </c>
      <c r="D179" s="2" t="s">
        <v>95</v>
      </c>
      <c r="F179" s="17">
        <f t="shared" si="7"/>
        <v>0.33333333333333331</v>
      </c>
      <c r="G179" s="17">
        <f t="shared" si="10"/>
        <v>0</v>
      </c>
      <c r="H179" s="17">
        <f t="shared" si="10"/>
        <v>0.33333333333333331</v>
      </c>
      <c r="I179" s="17">
        <f t="shared" si="10"/>
        <v>0</v>
      </c>
      <c r="J179" s="17">
        <f t="shared" si="10"/>
        <v>0</v>
      </c>
      <c r="K179" s="17">
        <f t="shared" si="10"/>
        <v>0</v>
      </c>
      <c r="L179" s="17">
        <f t="shared" si="10"/>
        <v>0</v>
      </c>
      <c r="M179" s="17">
        <f t="shared" si="10"/>
        <v>0</v>
      </c>
      <c r="N179" s="17">
        <f t="shared" si="10"/>
        <v>0</v>
      </c>
      <c r="O179" s="17">
        <f t="shared" si="10"/>
        <v>0</v>
      </c>
      <c r="P179" s="17">
        <f t="shared" si="10"/>
        <v>0</v>
      </c>
      <c r="Q179" s="17">
        <f t="shared" si="10"/>
        <v>0.33333333333333331</v>
      </c>
      <c r="R179" s="18" cm="1">
        <f t="array" ref="R179">SUMPRODUCT(ABS(F179:Q179-F178:Q178))</f>
        <v>0.66666666666666663</v>
      </c>
      <c r="S179" s="18" cm="1">
        <f t="array" ref="S179">SUMPRODUCT(ABS(G179:Q179-G178:Q178))</f>
        <v>0.33333333333333331</v>
      </c>
    </row>
    <row r="180" spans="1:19" x14ac:dyDescent="0.3">
      <c r="A180" s="2" t="s">
        <v>341</v>
      </c>
      <c r="B180" s="2">
        <v>5</v>
      </c>
      <c r="C180" s="2" t="s">
        <v>202</v>
      </c>
      <c r="D180" s="2" t="s">
        <v>23</v>
      </c>
      <c r="F180" s="17">
        <f t="shared" si="7"/>
        <v>0.66666666666666663</v>
      </c>
      <c r="G180" s="17">
        <f t="shared" si="10"/>
        <v>0</v>
      </c>
      <c r="H180" s="17">
        <f t="shared" si="10"/>
        <v>0.33333333333333331</v>
      </c>
      <c r="I180" s="17">
        <f t="shared" si="10"/>
        <v>0</v>
      </c>
      <c r="J180" s="17">
        <f t="shared" si="10"/>
        <v>0</v>
      </c>
      <c r="K180" s="17">
        <f t="shared" si="10"/>
        <v>0</v>
      </c>
      <c r="L180" s="17">
        <f t="shared" si="10"/>
        <v>0</v>
      </c>
      <c r="M180" s="17">
        <f t="shared" si="10"/>
        <v>0</v>
      </c>
      <c r="N180" s="17">
        <f t="shared" si="10"/>
        <v>0</v>
      </c>
      <c r="O180" s="17">
        <f t="shared" si="10"/>
        <v>0</v>
      </c>
      <c r="P180" s="17">
        <f t="shared" si="10"/>
        <v>0</v>
      </c>
      <c r="Q180" s="17">
        <f t="shared" si="10"/>
        <v>0</v>
      </c>
      <c r="R180" s="18" cm="1">
        <f t="array" ref="R180">SUMPRODUCT(ABS(F180:Q180-F179:Q179))</f>
        <v>0.66666666666666663</v>
      </c>
      <c r="S180" s="18" cm="1">
        <f t="array" ref="S180">SUMPRODUCT(ABS(G180:Q180-G179:Q179))</f>
        <v>0.33333333333333331</v>
      </c>
    </row>
    <row r="181" spans="1:19" x14ac:dyDescent="0.3">
      <c r="A181" s="2" t="s">
        <v>342</v>
      </c>
      <c r="B181" s="2">
        <v>14</v>
      </c>
      <c r="C181" s="2" t="s">
        <v>5</v>
      </c>
      <c r="D181" s="2" t="s">
        <v>333</v>
      </c>
      <c r="F181" s="17">
        <f t="shared" si="7"/>
        <v>1</v>
      </c>
      <c r="G181" s="17">
        <f t="shared" si="10"/>
        <v>0</v>
      </c>
      <c r="H181" s="17">
        <f t="shared" si="10"/>
        <v>0</v>
      </c>
      <c r="I181" s="17">
        <f t="shared" si="10"/>
        <v>0</v>
      </c>
      <c r="J181" s="17">
        <f t="shared" si="10"/>
        <v>0</v>
      </c>
      <c r="K181" s="17">
        <f t="shared" si="10"/>
        <v>0</v>
      </c>
      <c r="L181" s="17">
        <f t="shared" si="10"/>
        <v>0</v>
      </c>
      <c r="M181" s="17">
        <f t="shared" si="10"/>
        <v>0</v>
      </c>
      <c r="N181" s="17">
        <f t="shared" si="10"/>
        <v>0</v>
      </c>
      <c r="O181" s="17">
        <f t="shared" si="10"/>
        <v>0</v>
      </c>
      <c r="P181" s="17">
        <f t="shared" si="10"/>
        <v>0</v>
      </c>
      <c r="Q181" s="17">
        <f t="shared" si="10"/>
        <v>0</v>
      </c>
      <c r="R181" s="18" cm="1">
        <f t="array" ref="R181">SUMPRODUCT(ABS(F181:Q181-F180:Q180))</f>
        <v>0.66666666666666674</v>
      </c>
      <c r="S181" s="18" cm="1">
        <f t="array" ref="S181">SUMPRODUCT(ABS(G181:Q181-G180:Q180))</f>
        <v>0.33333333333333331</v>
      </c>
    </row>
    <row r="182" spans="1:19" x14ac:dyDescent="0.3">
      <c r="A182" s="2" t="s">
        <v>343</v>
      </c>
      <c r="B182" s="2">
        <v>3</v>
      </c>
      <c r="C182" s="2" t="s">
        <v>97</v>
      </c>
      <c r="D182" s="2" t="s">
        <v>344</v>
      </c>
      <c r="F182" s="17">
        <f t="shared" si="7"/>
        <v>0.66666666666666663</v>
      </c>
      <c r="G182" s="17">
        <f t="shared" si="10"/>
        <v>0</v>
      </c>
      <c r="H182" s="17">
        <f t="shared" si="10"/>
        <v>0</v>
      </c>
      <c r="I182" s="17">
        <f t="shared" si="10"/>
        <v>0</v>
      </c>
      <c r="J182" s="17">
        <f t="shared" si="10"/>
        <v>0.33333333333333331</v>
      </c>
      <c r="K182" s="17">
        <f t="shared" si="10"/>
        <v>0</v>
      </c>
      <c r="L182" s="17">
        <f t="shared" si="10"/>
        <v>0</v>
      </c>
      <c r="M182" s="17">
        <f t="shared" si="10"/>
        <v>0</v>
      </c>
      <c r="N182" s="17">
        <f t="shared" si="10"/>
        <v>0</v>
      </c>
      <c r="O182" s="17">
        <f t="shared" si="10"/>
        <v>0</v>
      </c>
      <c r="P182" s="17">
        <f t="shared" si="10"/>
        <v>0</v>
      </c>
      <c r="Q182" s="17">
        <f t="shared" si="10"/>
        <v>0</v>
      </c>
      <c r="R182" s="18" cm="1">
        <f t="array" ref="R182">SUMPRODUCT(ABS(F182:Q182-F181:Q181))</f>
        <v>0.66666666666666674</v>
      </c>
      <c r="S182" s="18" cm="1">
        <f t="array" ref="S182">SUMPRODUCT(ABS(G182:Q182-G181:Q181))</f>
        <v>0.33333333333333331</v>
      </c>
    </row>
    <row r="183" spans="1:19" x14ac:dyDescent="0.3">
      <c r="A183" s="2" t="s">
        <v>345</v>
      </c>
      <c r="B183" s="2">
        <v>1</v>
      </c>
      <c r="C183" s="2" t="s">
        <v>84</v>
      </c>
      <c r="D183" s="2" t="s">
        <v>41</v>
      </c>
      <c r="F183" s="17">
        <f t="shared" si="7"/>
        <v>0.33333333333333331</v>
      </c>
      <c r="G183" s="17">
        <f t="shared" si="10"/>
        <v>0</v>
      </c>
      <c r="H183" s="17">
        <f t="shared" si="10"/>
        <v>0</v>
      </c>
      <c r="I183" s="17">
        <f t="shared" si="10"/>
        <v>0</v>
      </c>
      <c r="J183" s="17">
        <f t="shared" si="10"/>
        <v>0.33333333333333331</v>
      </c>
      <c r="K183" s="17">
        <f t="shared" si="10"/>
        <v>0</v>
      </c>
      <c r="L183" s="17">
        <f t="shared" si="10"/>
        <v>0.33333333333333331</v>
      </c>
      <c r="M183" s="17">
        <f t="shared" si="10"/>
        <v>0</v>
      </c>
      <c r="N183" s="17">
        <f t="shared" si="10"/>
        <v>0</v>
      </c>
      <c r="O183" s="17">
        <f t="shared" si="10"/>
        <v>0</v>
      </c>
      <c r="P183" s="17">
        <f t="shared" si="10"/>
        <v>0</v>
      </c>
      <c r="Q183" s="17">
        <f t="shared" si="10"/>
        <v>0</v>
      </c>
      <c r="R183" s="18" cm="1">
        <f t="array" ref="R183">SUMPRODUCT(ABS(F183:Q183-F182:Q182))</f>
        <v>0.66666666666666663</v>
      </c>
      <c r="S183" s="18" cm="1">
        <f t="array" ref="S183">SUMPRODUCT(ABS(G183:Q183-G182:Q182))</f>
        <v>0.33333333333333331</v>
      </c>
    </row>
    <row r="184" spans="1:19" x14ac:dyDescent="0.3">
      <c r="A184" s="2" t="s">
        <v>346</v>
      </c>
      <c r="B184" s="2">
        <v>44</v>
      </c>
      <c r="C184" s="2" t="s">
        <v>172</v>
      </c>
      <c r="D184" s="2" t="s">
        <v>179</v>
      </c>
      <c r="F184" s="17">
        <f t="shared" si="7"/>
        <v>0</v>
      </c>
      <c r="G184" s="17">
        <f t="shared" si="10"/>
        <v>0</v>
      </c>
      <c r="H184" s="17">
        <f t="shared" si="10"/>
        <v>0.33333333333333331</v>
      </c>
      <c r="I184" s="17">
        <f t="shared" si="10"/>
        <v>0</v>
      </c>
      <c r="J184" s="17">
        <f t="shared" si="10"/>
        <v>0.33333333333333331</v>
      </c>
      <c r="K184" s="17">
        <f t="shared" si="10"/>
        <v>0</v>
      </c>
      <c r="L184" s="17">
        <f t="shared" si="10"/>
        <v>0.33333333333333331</v>
      </c>
      <c r="M184" s="17">
        <f t="shared" si="10"/>
        <v>0</v>
      </c>
      <c r="N184" s="17">
        <f t="shared" si="10"/>
        <v>0</v>
      </c>
      <c r="O184" s="17">
        <f t="shared" si="10"/>
        <v>0</v>
      </c>
      <c r="P184" s="17">
        <f t="shared" si="10"/>
        <v>0</v>
      </c>
      <c r="Q184" s="17">
        <f t="shared" si="10"/>
        <v>0</v>
      </c>
      <c r="R184" s="18" cm="1">
        <f t="array" ref="R184">SUMPRODUCT(ABS(F184:Q184-F183:Q183))</f>
        <v>0.66666666666666663</v>
      </c>
      <c r="S184" s="18" cm="1">
        <f t="array" ref="S184">SUMPRODUCT(ABS(G184:Q184-G183:Q183))</f>
        <v>0.33333333333333331</v>
      </c>
    </row>
    <row r="185" spans="1:19" x14ac:dyDescent="0.3">
      <c r="A185" s="2" t="s">
        <v>347</v>
      </c>
      <c r="B185" s="2">
        <v>3</v>
      </c>
      <c r="C185" s="2" t="s">
        <v>235</v>
      </c>
      <c r="D185" s="2" t="s">
        <v>95</v>
      </c>
      <c r="F185" s="17">
        <f t="shared" si="7"/>
        <v>0.33333333333333331</v>
      </c>
      <c r="G185" s="17">
        <f t="shared" si="10"/>
        <v>0</v>
      </c>
      <c r="H185" s="17">
        <f t="shared" si="10"/>
        <v>0.33333333333333331</v>
      </c>
      <c r="I185" s="17">
        <f t="shared" si="10"/>
        <v>0</v>
      </c>
      <c r="J185" s="17">
        <f t="shared" si="10"/>
        <v>0.33333333333333331</v>
      </c>
      <c r="K185" s="17">
        <f t="shared" si="10"/>
        <v>0</v>
      </c>
      <c r="L185" s="17">
        <f t="shared" si="10"/>
        <v>0</v>
      </c>
      <c r="M185" s="17">
        <f t="shared" si="10"/>
        <v>0</v>
      </c>
      <c r="N185" s="17">
        <f t="shared" si="10"/>
        <v>0</v>
      </c>
      <c r="O185" s="17">
        <f t="shared" si="10"/>
        <v>0</v>
      </c>
      <c r="P185" s="17">
        <f t="shared" si="10"/>
        <v>0</v>
      </c>
      <c r="Q185" s="17">
        <f t="shared" si="10"/>
        <v>0</v>
      </c>
      <c r="R185" s="18" cm="1">
        <f t="array" ref="R185">SUMPRODUCT(ABS(F185:Q185-F184:Q184))</f>
        <v>0.66666666666666663</v>
      </c>
      <c r="S185" s="18" cm="1">
        <f t="array" ref="S185">SUMPRODUCT(ABS(G185:Q185-G184:Q184))</f>
        <v>0.33333333333333331</v>
      </c>
    </row>
    <row r="186" spans="1:19" x14ac:dyDescent="0.3">
      <c r="A186" s="2" t="s">
        <v>348</v>
      </c>
      <c r="B186" s="2">
        <v>8</v>
      </c>
      <c r="C186" s="2" t="s">
        <v>97</v>
      </c>
      <c r="D186" s="2" t="s">
        <v>195</v>
      </c>
      <c r="F186" s="17">
        <f t="shared" si="7"/>
        <v>0.66666666666666663</v>
      </c>
      <c r="G186" s="17">
        <f t="shared" si="10"/>
        <v>0</v>
      </c>
      <c r="H186" s="17">
        <f t="shared" si="10"/>
        <v>0</v>
      </c>
      <c r="I186" s="17">
        <f t="shared" si="10"/>
        <v>0</v>
      </c>
      <c r="J186" s="17">
        <f t="shared" si="10"/>
        <v>0.33333333333333331</v>
      </c>
      <c r="K186" s="17">
        <f t="shared" si="10"/>
        <v>0</v>
      </c>
      <c r="L186" s="17">
        <f t="shared" si="10"/>
        <v>0</v>
      </c>
      <c r="M186" s="17">
        <f t="shared" si="10"/>
        <v>0</v>
      </c>
      <c r="N186" s="17">
        <f t="shared" si="10"/>
        <v>0</v>
      </c>
      <c r="O186" s="17">
        <f t="shared" si="10"/>
        <v>0</v>
      </c>
      <c r="P186" s="17">
        <f t="shared" si="10"/>
        <v>0</v>
      </c>
      <c r="Q186" s="17">
        <f t="shared" si="10"/>
        <v>0</v>
      </c>
      <c r="R186" s="18" cm="1">
        <f t="array" ref="R186">SUMPRODUCT(ABS(F186:Q186-F185:Q185))</f>
        <v>0.66666666666666663</v>
      </c>
      <c r="S186" s="18" cm="1">
        <f t="array" ref="S186">SUMPRODUCT(ABS(G186:Q186-G185:Q185))</f>
        <v>0.33333333333333331</v>
      </c>
    </row>
    <row r="187" spans="1:19" x14ac:dyDescent="0.3">
      <c r="A187" s="2" t="s">
        <v>349</v>
      </c>
      <c r="B187" s="2">
        <v>14</v>
      </c>
      <c r="C187" s="2" t="s">
        <v>5</v>
      </c>
      <c r="D187" s="2" t="s">
        <v>350</v>
      </c>
      <c r="F187" s="17">
        <f t="shared" si="7"/>
        <v>1</v>
      </c>
      <c r="G187" s="17">
        <f t="shared" si="10"/>
        <v>0</v>
      </c>
      <c r="H187" s="17">
        <f t="shared" si="10"/>
        <v>0</v>
      </c>
      <c r="I187" s="17">
        <f t="shared" si="10"/>
        <v>0</v>
      </c>
      <c r="J187" s="17">
        <f t="shared" si="10"/>
        <v>0</v>
      </c>
      <c r="K187" s="17">
        <f t="shared" si="10"/>
        <v>0</v>
      </c>
      <c r="L187" s="17">
        <f t="shared" si="10"/>
        <v>0</v>
      </c>
      <c r="M187" s="17">
        <f t="shared" si="10"/>
        <v>0</v>
      </c>
      <c r="N187" s="17">
        <f t="shared" si="10"/>
        <v>0</v>
      </c>
      <c r="O187" s="17">
        <f t="shared" si="10"/>
        <v>0</v>
      </c>
      <c r="P187" s="17">
        <f t="shared" si="10"/>
        <v>0</v>
      </c>
      <c r="Q187" s="17">
        <f t="shared" si="10"/>
        <v>0</v>
      </c>
      <c r="R187" s="18" cm="1">
        <f t="array" ref="R187">SUMPRODUCT(ABS(F187:Q187-F186:Q186))</f>
        <v>0.66666666666666674</v>
      </c>
      <c r="S187" s="18" cm="1">
        <f t="array" ref="S187">SUMPRODUCT(ABS(G187:Q187-G186:Q186))</f>
        <v>0.33333333333333331</v>
      </c>
    </row>
    <row r="188" spans="1:19" x14ac:dyDescent="0.3">
      <c r="A188" s="2" t="s">
        <v>351</v>
      </c>
      <c r="B188" s="2">
        <v>11</v>
      </c>
      <c r="C188" s="2" t="s">
        <v>97</v>
      </c>
      <c r="D188" s="2" t="s">
        <v>344</v>
      </c>
      <c r="F188" s="17">
        <f t="shared" ref="F188:F243" si="11">_xlfn.LET(_xlpm.t," "&amp;$C188&amp;" ",_xlpm.p,SEARCH(" "&amp;F$1&amp;" ",_xlpm.t),IFERROR(ROUND(VALUE(MID(_xlpm.t,_xlpm.p+LEN(F$1)+2,FIND("%",_xlpm.t,_xlpm.p)-_xlpm.p-LEN(F$1)-2))*3/100,0)/3,0))</f>
        <v>0.66666666666666663</v>
      </c>
      <c r="G188" s="17">
        <f t="shared" si="10"/>
        <v>0</v>
      </c>
      <c r="H188" s="17">
        <f t="shared" si="10"/>
        <v>0</v>
      </c>
      <c r="I188" s="17">
        <f t="shared" si="10"/>
        <v>0</v>
      </c>
      <c r="J188" s="17">
        <f t="shared" si="10"/>
        <v>0.33333333333333331</v>
      </c>
      <c r="K188" s="17">
        <f t="shared" si="10"/>
        <v>0</v>
      </c>
      <c r="L188" s="17">
        <f t="shared" si="10"/>
        <v>0</v>
      </c>
      <c r="M188" s="17">
        <f t="shared" si="10"/>
        <v>0</v>
      </c>
      <c r="N188" s="17">
        <f t="shared" si="10"/>
        <v>0</v>
      </c>
      <c r="O188" s="17">
        <f t="shared" si="10"/>
        <v>0</v>
      </c>
      <c r="P188" s="17">
        <f t="shared" si="10"/>
        <v>0</v>
      </c>
      <c r="Q188" s="17">
        <f t="shared" si="10"/>
        <v>0</v>
      </c>
      <c r="R188" s="18" cm="1">
        <f t="array" ref="R188">SUMPRODUCT(ABS(F188:Q188-F187:Q187))</f>
        <v>0.66666666666666674</v>
      </c>
      <c r="S188" s="18" cm="1">
        <f t="array" ref="S188">SUMPRODUCT(ABS(G188:Q188-G187:Q187))</f>
        <v>0.33333333333333331</v>
      </c>
    </row>
    <row r="189" spans="1:19" x14ac:dyDescent="0.3">
      <c r="A189" s="2" t="s">
        <v>352</v>
      </c>
      <c r="B189" s="2">
        <v>7</v>
      </c>
      <c r="C189" s="2" t="s">
        <v>240</v>
      </c>
      <c r="D189" s="2" t="s">
        <v>141</v>
      </c>
      <c r="F189" s="17">
        <f t="shared" si="11"/>
        <v>0.33333333333333331</v>
      </c>
      <c r="G189" s="17">
        <f t="shared" si="10"/>
        <v>0</v>
      </c>
      <c r="H189" s="17">
        <f t="shared" si="10"/>
        <v>0</v>
      </c>
      <c r="I189" s="17">
        <f t="shared" si="10"/>
        <v>0</v>
      </c>
      <c r="J189" s="17">
        <f t="shared" si="10"/>
        <v>0.33333333333333331</v>
      </c>
      <c r="K189" s="17">
        <f t="shared" si="10"/>
        <v>0</v>
      </c>
      <c r="L189" s="17">
        <f t="shared" si="10"/>
        <v>0</v>
      </c>
      <c r="M189" s="17">
        <f t="shared" si="10"/>
        <v>0</v>
      </c>
      <c r="N189" s="17">
        <f t="shared" si="10"/>
        <v>0.33333333333333331</v>
      </c>
      <c r="O189" s="17">
        <f t="shared" si="10"/>
        <v>0</v>
      </c>
      <c r="P189" s="17">
        <f t="shared" si="10"/>
        <v>0</v>
      </c>
      <c r="Q189" s="17">
        <f t="shared" si="10"/>
        <v>0</v>
      </c>
      <c r="R189" s="18" cm="1">
        <f t="array" ref="R189">SUMPRODUCT(ABS(F189:Q189-F188:Q188))</f>
        <v>0.66666666666666663</v>
      </c>
      <c r="S189" s="18" cm="1">
        <f t="array" ref="S189">SUMPRODUCT(ABS(G189:Q189-G188:Q188))</f>
        <v>0.33333333333333331</v>
      </c>
    </row>
    <row r="190" spans="1:19" x14ac:dyDescent="0.3">
      <c r="A190" s="2" t="s">
        <v>353</v>
      </c>
      <c r="B190" s="2">
        <v>1</v>
      </c>
      <c r="C190" s="2" t="s">
        <v>354</v>
      </c>
      <c r="D190" s="2" t="s">
        <v>179</v>
      </c>
      <c r="F190" s="17">
        <f t="shared" si="11"/>
        <v>0</v>
      </c>
      <c r="G190" s="17">
        <f t="shared" si="10"/>
        <v>0</v>
      </c>
      <c r="H190" s="17">
        <f t="shared" si="10"/>
        <v>0.33333333333333331</v>
      </c>
      <c r="I190" s="17">
        <f t="shared" si="10"/>
        <v>0</v>
      </c>
      <c r="J190" s="17">
        <f t="shared" si="10"/>
        <v>0.33333333333333331</v>
      </c>
      <c r="K190" s="17">
        <f t="shared" si="10"/>
        <v>0</v>
      </c>
      <c r="L190" s="17">
        <f t="shared" si="10"/>
        <v>0</v>
      </c>
      <c r="M190" s="17">
        <f t="shared" si="10"/>
        <v>0</v>
      </c>
      <c r="N190" s="17">
        <f t="shared" si="10"/>
        <v>0.33333333333333331</v>
      </c>
      <c r="O190" s="17">
        <f t="shared" si="10"/>
        <v>0</v>
      </c>
      <c r="P190" s="17">
        <f t="shared" si="10"/>
        <v>0</v>
      </c>
      <c r="Q190" s="17">
        <f t="shared" si="10"/>
        <v>0</v>
      </c>
      <c r="R190" s="18" cm="1">
        <f t="array" ref="R190">SUMPRODUCT(ABS(F190:Q190-F189:Q189))</f>
        <v>0.66666666666666663</v>
      </c>
      <c r="S190" s="18" cm="1">
        <f t="array" ref="S190">SUMPRODUCT(ABS(G190:Q190-G189:Q189))</f>
        <v>0.33333333333333331</v>
      </c>
    </row>
    <row r="191" spans="1:19" x14ac:dyDescent="0.3">
      <c r="A191" s="2" t="s">
        <v>355</v>
      </c>
      <c r="B191" s="2">
        <v>4</v>
      </c>
      <c r="C191" s="2" t="s">
        <v>235</v>
      </c>
      <c r="D191" s="2" t="s">
        <v>166</v>
      </c>
      <c r="F191" s="17">
        <f t="shared" si="11"/>
        <v>0.33333333333333331</v>
      </c>
      <c r="G191" s="17">
        <f t="shared" si="10"/>
        <v>0</v>
      </c>
      <c r="H191" s="17">
        <f t="shared" si="10"/>
        <v>0.33333333333333331</v>
      </c>
      <c r="I191" s="17">
        <f t="shared" si="10"/>
        <v>0</v>
      </c>
      <c r="J191" s="17">
        <f t="shared" si="10"/>
        <v>0.33333333333333331</v>
      </c>
      <c r="K191" s="17">
        <f t="shared" si="10"/>
        <v>0</v>
      </c>
      <c r="L191" s="17">
        <f t="shared" si="10"/>
        <v>0</v>
      </c>
      <c r="M191" s="17">
        <f t="shared" si="10"/>
        <v>0</v>
      </c>
      <c r="N191" s="17">
        <f t="shared" si="10"/>
        <v>0</v>
      </c>
      <c r="O191" s="17">
        <f t="shared" si="10"/>
        <v>0</v>
      </c>
      <c r="P191" s="17">
        <f t="shared" si="10"/>
        <v>0</v>
      </c>
      <c r="Q191" s="17">
        <f t="shared" si="10"/>
        <v>0</v>
      </c>
      <c r="R191" s="18" cm="1">
        <f t="array" ref="R191">SUMPRODUCT(ABS(F191:Q191-F190:Q190))</f>
        <v>0.66666666666666663</v>
      </c>
      <c r="S191" s="18" cm="1">
        <f t="array" ref="S191">SUMPRODUCT(ABS(G191:Q191-G190:Q190))</f>
        <v>0.33333333333333331</v>
      </c>
    </row>
    <row r="192" spans="1:19" x14ac:dyDescent="0.3">
      <c r="A192" s="2" t="s">
        <v>356</v>
      </c>
      <c r="B192" s="2">
        <v>4</v>
      </c>
      <c r="C192" s="2" t="s">
        <v>172</v>
      </c>
      <c r="D192" s="2" t="s">
        <v>28</v>
      </c>
      <c r="F192" s="17">
        <f t="shared" si="11"/>
        <v>0</v>
      </c>
      <c r="G192" s="17">
        <f t="shared" si="10"/>
        <v>0</v>
      </c>
      <c r="H192" s="17">
        <f t="shared" si="10"/>
        <v>0.33333333333333331</v>
      </c>
      <c r="I192" s="17">
        <f t="shared" si="10"/>
        <v>0</v>
      </c>
      <c r="J192" s="17">
        <f t="shared" si="10"/>
        <v>0.33333333333333331</v>
      </c>
      <c r="K192" s="17">
        <f t="shared" si="10"/>
        <v>0</v>
      </c>
      <c r="L192" s="17">
        <f t="shared" si="10"/>
        <v>0.33333333333333331</v>
      </c>
      <c r="M192" s="17">
        <f t="shared" si="10"/>
        <v>0</v>
      </c>
      <c r="N192" s="17">
        <f t="shared" si="10"/>
        <v>0</v>
      </c>
      <c r="O192" s="17">
        <f t="shared" si="10"/>
        <v>0</v>
      </c>
      <c r="P192" s="17">
        <f t="shared" si="10"/>
        <v>0</v>
      </c>
      <c r="Q192" s="17">
        <f t="shared" si="10"/>
        <v>0</v>
      </c>
      <c r="R192" s="18" cm="1">
        <f t="array" ref="R192">SUMPRODUCT(ABS(F192:Q192-F191:Q191))</f>
        <v>0.66666666666666663</v>
      </c>
      <c r="S192" s="18" cm="1">
        <f t="array" ref="S192">SUMPRODUCT(ABS(G192:Q192-G191:Q191))</f>
        <v>0.33333333333333331</v>
      </c>
    </row>
    <row r="193" spans="1:19" x14ac:dyDescent="0.3">
      <c r="A193" s="2" t="s">
        <v>357</v>
      </c>
      <c r="B193" s="2">
        <v>5</v>
      </c>
      <c r="C193" s="2" t="s">
        <v>235</v>
      </c>
      <c r="D193" s="2" t="s">
        <v>95</v>
      </c>
      <c r="F193" s="17">
        <f t="shared" si="11"/>
        <v>0.33333333333333331</v>
      </c>
      <c r="G193" s="17">
        <f t="shared" si="10"/>
        <v>0</v>
      </c>
      <c r="H193" s="17">
        <f t="shared" si="10"/>
        <v>0.33333333333333331</v>
      </c>
      <c r="I193" s="17">
        <f t="shared" si="10"/>
        <v>0</v>
      </c>
      <c r="J193" s="17">
        <f t="shared" si="10"/>
        <v>0.33333333333333331</v>
      </c>
      <c r="K193" s="17">
        <f t="shared" si="10"/>
        <v>0</v>
      </c>
      <c r="L193" s="17">
        <f t="shared" si="10"/>
        <v>0</v>
      </c>
      <c r="M193" s="17">
        <f t="shared" si="10"/>
        <v>0</v>
      </c>
      <c r="N193" s="17">
        <f t="shared" si="10"/>
        <v>0</v>
      </c>
      <c r="O193" s="17">
        <f t="shared" si="10"/>
        <v>0</v>
      </c>
      <c r="P193" s="17">
        <f t="shared" si="10"/>
        <v>0</v>
      </c>
      <c r="Q193" s="17">
        <f t="shared" si="10"/>
        <v>0</v>
      </c>
      <c r="R193" s="18" cm="1">
        <f t="array" ref="R193">SUMPRODUCT(ABS(F193:Q193-F192:Q192))</f>
        <v>0.66666666666666663</v>
      </c>
      <c r="S193" s="18" cm="1">
        <f t="array" ref="S193">SUMPRODUCT(ABS(G193:Q193-G192:Q192))</f>
        <v>0.33333333333333331</v>
      </c>
    </row>
    <row r="194" spans="1:19" x14ac:dyDescent="0.3">
      <c r="A194" s="2" t="s">
        <v>358</v>
      </c>
      <c r="B194" s="2">
        <v>8</v>
      </c>
      <c r="C194" s="2" t="s">
        <v>172</v>
      </c>
      <c r="D194" s="2" t="s">
        <v>28</v>
      </c>
      <c r="F194" s="17">
        <f t="shared" si="11"/>
        <v>0</v>
      </c>
      <c r="G194" s="17">
        <f t="shared" si="10"/>
        <v>0</v>
      </c>
      <c r="H194" s="17">
        <f t="shared" si="10"/>
        <v>0.33333333333333331</v>
      </c>
      <c r="I194" s="17">
        <f t="shared" si="10"/>
        <v>0</v>
      </c>
      <c r="J194" s="17">
        <f t="shared" si="10"/>
        <v>0.33333333333333331</v>
      </c>
      <c r="K194" s="17">
        <f t="shared" si="10"/>
        <v>0</v>
      </c>
      <c r="L194" s="17">
        <f t="shared" si="10"/>
        <v>0.33333333333333331</v>
      </c>
      <c r="M194" s="17">
        <f t="shared" si="10"/>
        <v>0</v>
      </c>
      <c r="N194" s="17">
        <f t="shared" si="10"/>
        <v>0</v>
      </c>
      <c r="O194" s="17">
        <f t="shared" si="10"/>
        <v>0</v>
      </c>
      <c r="P194" s="17">
        <f t="shared" si="10"/>
        <v>0</v>
      </c>
      <c r="Q194" s="17">
        <f t="shared" si="10"/>
        <v>0</v>
      </c>
      <c r="R194" s="18" cm="1">
        <f t="array" ref="R194">SUMPRODUCT(ABS(F194:Q194-F193:Q193))</f>
        <v>0.66666666666666663</v>
      </c>
      <c r="S194" s="18" cm="1">
        <f t="array" ref="S194">SUMPRODUCT(ABS(G194:Q194-G193:Q193))</f>
        <v>0.33333333333333331</v>
      </c>
    </row>
    <row r="195" spans="1:19" x14ac:dyDescent="0.3">
      <c r="A195" s="2" t="s">
        <v>359</v>
      </c>
      <c r="B195" s="2">
        <v>6</v>
      </c>
      <c r="C195" s="2" t="s">
        <v>84</v>
      </c>
      <c r="D195" s="2" t="s">
        <v>177</v>
      </c>
      <c r="F195" s="17">
        <f t="shared" si="11"/>
        <v>0.33333333333333331</v>
      </c>
      <c r="G195" s="17">
        <f t="shared" si="10"/>
        <v>0</v>
      </c>
      <c r="H195" s="17">
        <f t="shared" si="10"/>
        <v>0</v>
      </c>
      <c r="I195" s="17">
        <f t="shared" si="10"/>
        <v>0</v>
      </c>
      <c r="J195" s="17">
        <f t="shared" si="10"/>
        <v>0.33333333333333331</v>
      </c>
      <c r="K195" s="17">
        <f t="shared" si="10"/>
        <v>0</v>
      </c>
      <c r="L195" s="17">
        <f t="shared" si="10"/>
        <v>0.33333333333333331</v>
      </c>
      <c r="M195" s="17">
        <f t="shared" si="10"/>
        <v>0</v>
      </c>
      <c r="N195" s="17">
        <f t="shared" si="10"/>
        <v>0</v>
      </c>
      <c r="O195" s="17">
        <f t="shared" si="10"/>
        <v>0</v>
      </c>
      <c r="P195" s="17">
        <f t="shared" si="10"/>
        <v>0</v>
      </c>
      <c r="Q195" s="17">
        <f t="shared" si="10"/>
        <v>0</v>
      </c>
      <c r="R195" s="18" cm="1">
        <f t="array" ref="R195">SUMPRODUCT(ABS(F195:Q195-F194:Q194))</f>
        <v>0.66666666666666663</v>
      </c>
      <c r="S195" s="18" cm="1">
        <f t="array" ref="S195">SUMPRODUCT(ABS(G195:Q195-G194:Q194))</f>
        <v>0.33333333333333331</v>
      </c>
    </row>
    <row r="196" spans="1:19" x14ac:dyDescent="0.3">
      <c r="A196" s="2" t="s">
        <v>360</v>
      </c>
      <c r="B196" s="2">
        <v>9</v>
      </c>
      <c r="C196" s="2" t="s">
        <v>172</v>
      </c>
      <c r="D196" s="2" t="s">
        <v>179</v>
      </c>
      <c r="F196" s="17">
        <f t="shared" si="11"/>
        <v>0</v>
      </c>
      <c r="G196" s="17">
        <f t="shared" si="10"/>
        <v>0</v>
      </c>
      <c r="H196" s="17">
        <f t="shared" si="10"/>
        <v>0.33333333333333331</v>
      </c>
      <c r="I196" s="17">
        <f t="shared" si="10"/>
        <v>0</v>
      </c>
      <c r="J196" s="17">
        <f t="shared" si="10"/>
        <v>0.33333333333333331</v>
      </c>
      <c r="K196" s="17">
        <f t="shared" si="10"/>
        <v>0</v>
      </c>
      <c r="L196" s="17">
        <f t="shared" si="10"/>
        <v>0.33333333333333331</v>
      </c>
      <c r="M196" s="17">
        <f t="shared" si="10"/>
        <v>0</v>
      </c>
      <c r="N196" s="17">
        <f t="shared" si="10"/>
        <v>0</v>
      </c>
      <c r="O196" s="17">
        <f t="shared" si="10"/>
        <v>0</v>
      </c>
      <c r="P196" s="17">
        <f t="shared" si="10"/>
        <v>0</v>
      </c>
      <c r="Q196" s="17">
        <f t="shared" si="10"/>
        <v>0</v>
      </c>
      <c r="R196" s="18" cm="1">
        <f t="array" ref="R196">SUMPRODUCT(ABS(F196:Q196-F195:Q195))</f>
        <v>0.66666666666666663</v>
      </c>
      <c r="S196" s="18" cm="1">
        <f t="array" ref="S196">SUMPRODUCT(ABS(G196:Q196-G195:Q195))</f>
        <v>0.33333333333333331</v>
      </c>
    </row>
    <row r="197" spans="1:19" x14ac:dyDescent="0.3">
      <c r="A197" s="2" t="s">
        <v>361</v>
      </c>
      <c r="B197" s="2">
        <v>22</v>
      </c>
      <c r="C197" s="2" t="s">
        <v>362</v>
      </c>
      <c r="D197" s="2" t="s">
        <v>363</v>
      </c>
      <c r="F197" s="17">
        <f t="shared" si="11"/>
        <v>0</v>
      </c>
      <c r="G197" s="17">
        <f t="shared" si="10"/>
        <v>0</v>
      </c>
      <c r="H197" s="17">
        <f t="shared" si="10"/>
        <v>0.33333333333333331</v>
      </c>
      <c r="I197" s="17">
        <f t="shared" si="10"/>
        <v>0</v>
      </c>
      <c r="J197" s="17">
        <f t="shared" si="10"/>
        <v>0.33333333333333331</v>
      </c>
      <c r="K197" s="17">
        <f t="shared" si="10"/>
        <v>0.33333333333333331</v>
      </c>
      <c r="L197" s="17">
        <f t="shared" si="10"/>
        <v>0</v>
      </c>
      <c r="M197" s="17">
        <f t="shared" si="10"/>
        <v>0</v>
      </c>
      <c r="N197" s="17">
        <f t="shared" si="10"/>
        <v>0</v>
      </c>
      <c r="O197" s="17">
        <f t="shared" si="10"/>
        <v>0</v>
      </c>
      <c r="P197" s="17">
        <f t="shared" si="10"/>
        <v>0</v>
      </c>
      <c r="Q197" s="17">
        <f t="shared" si="10"/>
        <v>0</v>
      </c>
      <c r="R197" s="18" cm="1">
        <f t="array" ref="R197">SUMPRODUCT(ABS(F197:Q197-F196:Q196))</f>
        <v>0.66666666666666663</v>
      </c>
      <c r="S197" s="18" cm="1">
        <f t="array" ref="S197">SUMPRODUCT(ABS(G197:Q197-G196:Q196))</f>
        <v>0.66666666666666663</v>
      </c>
    </row>
    <row r="198" spans="1:19" x14ac:dyDescent="0.3">
      <c r="A198" s="2" t="s">
        <v>364</v>
      </c>
      <c r="B198" s="2">
        <v>2</v>
      </c>
      <c r="C198" s="2" t="s">
        <v>235</v>
      </c>
      <c r="D198" s="2" t="s">
        <v>85</v>
      </c>
      <c r="F198" s="17">
        <f t="shared" si="11"/>
        <v>0.33333333333333331</v>
      </c>
      <c r="G198" s="17">
        <f t="shared" si="10"/>
        <v>0</v>
      </c>
      <c r="H198" s="17">
        <f t="shared" si="10"/>
        <v>0.33333333333333331</v>
      </c>
      <c r="I198" s="17">
        <f t="shared" si="10"/>
        <v>0</v>
      </c>
      <c r="J198" s="17">
        <f t="shared" ref="G198:Q243" si="12">_xlfn.LET(_xlpm.t," "&amp;$C198&amp;" ",_xlpm.p,SEARCH(" "&amp;J$1&amp;" ",_xlpm.t),IFERROR(ROUND(VALUE(MID(_xlpm.t,_xlpm.p+LEN(J$1)+2,FIND("%",_xlpm.t,_xlpm.p)-_xlpm.p-LEN(J$1)-2))*3/100,0)/3,0))</f>
        <v>0.33333333333333331</v>
      </c>
      <c r="K198" s="17">
        <f t="shared" si="12"/>
        <v>0</v>
      </c>
      <c r="L198" s="17">
        <f t="shared" si="12"/>
        <v>0</v>
      </c>
      <c r="M198" s="17">
        <f t="shared" si="12"/>
        <v>0</v>
      </c>
      <c r="N198" s="17">
        <f t="shared" si="12"/>
        <v>0</v>
      </c>
      <c r="O198" s="17">
        <f t="shared" si="12"/>
        <v>0</v>
      </c>
      <c r="P198" s="17">
        <f t="shared" si="12"/>
        <v>0</v>
      </c>
      <c r="Q198" s="17">
        <f t="shared" si="12"/>
        <v>0</v>
      </c>
      <c r="R198" s="18" cm="1">
        <f t="array" ref="R198">SUMPRODUCT(ABS(F198:Q198-F197:Q197))</f>
        <v>0.66666666666666663</v>
      </c>
      <c r="S198" s="18" cm="1">
        <f t="array" ref="S198">SUMPRODUCT(ABS(G198:Q198-G197:Q197))</f>
        <v>0.33333333333333331</v>
      </c>
    </row>
    <row r="199" spans="1:19" x14ac:dyDescent="0.3">
      <c r="A199" s="2" t="s">
        <v>365</v>
      </c>
      <c r="B199" s="2">
        <v>1</v>
      </c>
      <c r="C199" s="2" t="s">
        <v>366</v>
      </c>
      <c r="D199" s="2" t="s">
        <v>12</v>
      </c>
      <c r="F199" s="17">
        <f t="shared" si="11"/>
        <v>0</v>
      </c>
      <c r="G199" s="17">
        <f t="shared" si="12"/>
        <v>0</v>
      </c>
      <c r="H199" s="17">
        <f t="shared" si="12"/>
        <v>0.33333333333333331</v>
      </c>
      <c r="I199" s="17">
        <f t="shared" si="12"/>
        <v>0</v>
      </c>
      <c r="J199" s="17">
        <f t="shared" si="12"/>
        <v>0.33333333333333331</v>
      </c>
      <c r="K199" s="17">
        <f t="shared" si="12"/>
        <v>0</v>
      </c>
      <c r="L199" s="17">
        <f t="shared" si="12"/>
        <v>0</v>
      </c>
      <c r="M199" s="17">
        <f t="shared" si="12"/>
        <v>0</v>
      </c>
      <c r="N199" s="17">
        <f t="shared" si="12"/>
        <v>0</v>
      </c>
      <c r="O199" s="17">
        <f t="shared" si="12"/>
        <v>0</v>
      </c>
      <c r="P199" s="17">
        <f t="shared" si="12"/>
        <v>0</v>
      </c>
      <c r="Q199" s="17">
        <f t="shared" si="12"/>
        <v>0.33333333333333331</v>
      </c>
      <c r="R199" s="18" cm="1">
        <f t="array" ref="R199">SUMPRODUCT(ABS(F199:Q199-F198:Q198))</f>
        <v>0.66666666666666663</v>
      </c>
      <c r="S199" s="18" cm="1">
        <f t="array" ref="S199">SUMPRODUCT(ABS(G199:Q199-G198:Q198))</f>
        <v>0.33333333333333331</v>
      </c>
    </row>
    <row r="200" spans="1:19" x14ac:dyDescent="0.3">
      <c r="A200" s="2" t="s">
        <v>367</v>
      </c>
      <c r="B200" s="2">
        <v>10</v>
      </c>
      <c r="C200" s="2" t="s">
        <v>340</v>
      </c>
      <c r="D200" s="2" t="s">
        <v>246</v>
      </c>
      <c r="F200" s="17">
        <f t="shared" si="11"/>
        <v>0.33333333333333331</v>
      </c>
      <c r="G200" s="17">
        <f t="shared" si="12"/>
        <v>0</v>
      </c>
      <c r="H200" s="17">
        <f t="shared" si="12"/>
        <v>0.33333333333333331</v>
      </c>
      <c r="I200" s="17">
        <f t="shared" si="12"/>
        <v>0</v>
      </c>
      <c r="J200" s="17">
        <f t="shared" si="12"/>
        <v>0</v>
      </c>
      <c r="K200" s="17">
        <f t="shared" si="12"/>
        <v>0</v>
      </c>
      <c r="L200" s="17">
        <f t="shared" si="12"/>
        <v>0</v>
      </c>
      <c r="M200" s="17">
        <f t="shared" si="12"/>
        <v>0</v>
      </c>
      <c r="N200" s="17">
        <f t="shared" si="12"/>
        <v>0</v>
      </c>
      <c r="O200" s="17">
        <f t="shared" si="12"/>
        <v>0</v>
      </c>
      <c r="P200" s="17">
        <f t="shared" si="12"/>
        <v>0</v>
      </c>
      <c r="Q200" s="17">
        <f t="shared" si="12"/>
        <v>0.33333333333333331</v>
      </c>
      <c r="R200" s="18" cm="1">
        <f t="array" ref="R200">SUMPRODUCT(ABS(F200:Q200-F199:Q199))</f>
        <v>0.66666666666666663</v>
      </c>
      <c r="S200" s="18" cm="1">
        <f t="array" ref="S200">SUMPRODUCT(ABS(G200:Q200-G199:Q199))</f>
        <v>0.33333333333333331</v>
      </c>
    </row>
    <row r="201" spans="1:19" x14ac:dyDescent="0.3">
      <c r="A201" s="2" t="s">
        <v>368</v>
      </c>
      <c r="B201" s="2">
        <v>5</v>
      </c>
      <c r="C201" s="2" t="s">
        <v>202</v>
      </c>
      <c r="D201" s="2" t="s">
        <v>23</v>
      </c>
      <c r="F201" s="17">
        <f t="shared" si="11"/>
        <v>0.66666666666666663</v>
      </c>
      <c r="G201" s="17">
        <f t="shared" si="12"/>
        <v>0</v>
      </c>
      <c r="H201" s="17">
        <f t="shared" si="12"/>
        <v>0.33333333333333331</v>
      </c>
      <c r="I201" s="17">
        <f t="shared" si="12"/>
        <v>0</v>
      </c>
      <c r="J201" s="17">
        <f t="shared" si="12"/>
        <v>0</v>
      </c>
      <c r="K201" s="17">
        <f t="shared" si="12"/>
        <v>0</v>
      </c>
      <c r="L201" s="17">
        <f t="shared" si="12"/>
        <v>0</v>
      </c>
      <c r="M201" s="17">
        <f t="shared" si="12"/>
        <v>0</v>
      </c>
      <c r="N201" s="17">
        <f t="shared" si="12"/>
        <v>0</v>
      </c>
      <c r="O201" s="17">
        <f t="shared" si="12"/>
        <v>0</v>
      </c>
      <c r="P201" s="17">
        <f t="shared" si="12"/>
        <v>0</v>
      </c>
      <c r="Q201" s="17">
        <f t="shared" si="12"/>
        <v>0</v>
      </c>
      <c r="R201" s="18" cm="1">
        <f t="array" ref="R201">SUMPRODUCT(ABS(F201:Q201-F200:Q200))</f>
        <v>0.66666666666666663</v>
      </c>
      <c r="S201" s="18" cm="1">
        <f t="array" ref="S201">SUMPRODUCT(ABS(G201:Q201-G200:Q200))</f>
        <v>0.33333333333333331</v>
      </c>
    </row>
    <row r="202" spans="1:19" x14ac:dyDescent="0.3">
      <c r="A202" s="2" t="s">
        <v>369</v>
      </c>
      <c r="B202" s="2">
        <v>4</v>
      </c>
      <c r="C202" s="2" t="s">
        <v>5</v>
      </c>
      <c r="D202" s="2" t="s">
        <v>333</v>
      </c>
      <c r="F202" s="17">
        <f t="shared" si="11"/>
        <v>1</v>
      </c>
      <c r="G202" s="17">
        <f t="shared" si="12"/>
        <v>0</v>
      </c>
      <c r="H202" s="17">
        <f t="shared" si="12"/>
        <v>0</v>
      </c>
      <c r="I202" s="17">
        <f t="shared" si="12"/>
        <v>0</v>
      </c>
      <c r="J202" s="17">
        <f t="shared" si="12"/>
        <v>0</v>
      </c>
      <c r="K202" s="17">
        <f t="shared" si="12"/>
        <v>0</v>
      </c>
      <c r="L202" s="17">
        <f t="shared" si="12"/>
        <v>0</v>
      </c>
      <c r="M202" s="17">
        <f t="shared" si="12"/>
        <v>0</v>
      </c>
      <c r="N202" s="17">
        <f t="shared" si="12"/>
        <v>0</v>
      </c>
      <c r="O202" s="17">
        <f t="shared" si="12"/>
        <v>0</v>
      </c>
      <c r="P202" s="17">
        <f t="shared" si="12"/>
        <v>0</v>
      </c>
      <c r="Q202" s="17">
        <f t="shared" si="12"/>
        <v>0</v>
      </c>
      <c r="R202" s="18" cm="1">
        <f t="array" ref="R202">SUMPRODUCT(ABS(F202:Q202-F201:Q201))</f>
        <v>0.66666666666666674</v>
      </c>
      <c r="S202" s="18" cm="1">
        <f t="array" ref="S202">SUMPRODUCT(ABS(G202:Q202-G201:Q201))</f>
        <v>0.33333333333333331</v>
      </c>
    </row>
    <row r="203" spans="1:19" x14ac:dyDescent="0.3">
      <c r="A203" s="2" t="s">
        <v>370</v>
      </c>
      <c r="B203" s="2">
        <v>2</v>
      </c>
      <c r="C203" s="2" t="s">
        <v>97</v>
      </c>
      <c r="D203" s="2" t="s">
        <v>344</v>
      </c>
      <c r="F203" s="17">
        <f t="shared" si="11"/>
        <v>0.66666666666666663</v>
      </c>
      <c r="G203" s="17">
        <f t="shared" si="12"/>
        <v>0</v>
      </c>
      <c r="H203" s="17">
        <f t="shared" si="12"/>
        <v>0</v>
      </c>
      <c r="I203" s="17">
        <f t="shared" si="12"/>
        <v>0</v>
      </c>
      <c r="J203" s="17">
        <f t="shared" si="12"/>
        <v>0.33333333333333331</v>
      </c>
      <c r="K203" s="17">
        <f t="shared" si="12"/>
        <v>0</v>
      </c>
      <c r="L203" s="17">
        <f t="shared" si="12"/>
        <v>0</v>
      </c>
      <c r="M203" s="17">
        <f t="shared" si="12"/>
        <v>0</v>
      </c>
      <c r="N203" s="17">
        <f t="shared" si="12"/>
        <v>0</v>
      </c>
      <c r="O203" s="17">
        <f t="shared" si="12"/>
        <v>0</v>
      </c>
      <c r="P203" s="17">
        <f t="shared" si="12"/>
        <v>0</v>
      </c>
      <c r="Q203" s="17">
        <f t="shared" si="12"/>
        <v>0</v>
      </c>
      <c r="R203" s="18" cm="1">
        <f t="array" ref="R203">SUMPRODUCT(ABS(F203:Q203-F202:Q202))</f>
        <v>0.66666666666666674</v>
      </c>
      <c r="S203" s="18" cm="1">
        <f t="array" ref="S203">SUMPRODUCT(ABS(G203:Q203-G202:Q202))</f>
        <v>0.33333333333333331</v>
      </c>
    </row>
    <row r="204" spans="1:19" x14ac:dyDescent="0.3">
      <c r="A204" s="2" t="s">
        <v>371</v>
      </c>
      <c r="B204" s="2">
        <v>3</v>
      </c>
      <c r="C204" s="2" t="s">
        <v>94</v>
      </c>
      <c r="D204" s="2" t="s">
        <v>25</v>
      </c>
      <c r="F204" s="17">
        <f t="shared" si="11"/>
        <v>0.33333333333333331</v>
      </c>
      <c r="G204" s="17">
        <f t="shared" si="12"/>
        <v>0</v>
      </c>
      <c r="H204" s="17">
        <f t="shared" si="12"/>
        <v>0</v>
      </c>
      <c r="I204" s="17">
        <f t="shared" si="12"/>
        <v>0</v>
      </c>
      <c r="J204" s="17">
        <f t="shared" si="12"/>
        <v>0.33333333333333331</v>
      </c>
      <c r="K204" s="17">
        <f t="shared" si="12"/>
        <v>0</v>
      </c>
      <c r="L204" s="17">
        <f t="shared" si="12"/>
        <v>0</v>
      </c>
      <c r="M204" s="17">
        <f t="shared" si="12"/>
        <v>0</v>
      </c>
      <c r="N204" s="17">
        <f t="shared" si="12"/>
        <v>0</v>
      </c>
      <c r="O204" s="17">
        <f t="shared" si="12"/>
        <v>0.33333333333333331</v>
      </c>
      <c r="P204" s="17">
        <f t="shared" si="12"/>
        <v>0</v>
      </c>
      <c r="Q204" s="17">
        <f t="shared" si="12"/>
        <v>0</v>
      </c>
      <c r="R204" s="18" cm="1">
        <f t="array" ref="R204">SUMPRODUCT(ABS(F204:Q204-F203:Q203))</f>
        <v>0.66666666666666663</v>
      </c>
      <c r="S204" s="18" cm="1">
        <f t="array" ref="S204">SUMPRODUCT(ABS(G204:Q204-G203:Q203))</f>
        <v>0.33333333333333331</v>
      </c>
    </row>
    <row r="205" spans="1:19" x14ac:dyDescent="0.3">
      <c r="A205" s="2" t="s">
        <v>372</v>
      </c>
      <c r="B205" s="2">
        <v>23</v>
      </c>
      <c r="C205" s="2" t="s">
        <v>373</v>
      </c>
      <c r="D205" s="2" t="s">
        <v>179</v>
      </c>
      <c r="F205" s="17">
        <f t="shared" si="11"/>
        <v>0</v>
      </c>
      <c r="G205" s="17">
        <f t="shared" si="12"/>
        <v>0</v>
      </c>
      <c r="H205" s="17">
        <f t="shared" si="12"/>
        <v>0.33333333333333331</v>
      </c>
      <c r="I205" s="17">
        <f t="shared" si="12"/>
        <v>0</v>
      </c>
      <c r="J205" s="17">
        <f t="shared" si="12"/>
        <v>0.33333333333333331</v>
      </c>
      <c r="K205" s="17">
        <f t="shared" si="12"/>
        <v>0</v>
      </c>
      <c r="L205" s="17">
        <f t="shared" si="12"/>
        <v>0</v>
      </c>
      <c r="M205" s="17">
        <f t="shared" si="12"/>
        <v>0</v>
      </c>
      <c r="N205" s="17">
        <f t="shared" si="12"/>
        <v>0</v>
      </c>
      <c r="O205" s="17">
        <f t="shared" si="12"/>
        <v>0.33333333333333331</v>
      </c>
      <c r="P205" s="17">
        <f t="shared" si="12"/>
        <v>0</v>
      </c>
      <c r="Q205" s="17">
        <f t="shared" si="12"/>
        <v>0</v>
      </c>
      <c r="R205" s="18" cm="1">
        <f t="array" ref="R205">SUMPRODUCT(ABS(F205:Q205-F204:Q204))</f>
        <v>0.66666666666666663</v>
      </c>
      <c r="S205" s="18" cm="1">
        <f t="array" ref="S205">SUMPRODUCT(ABS(G205:Q205-G204:Q204))</f>
        <v>0.33333333333333331</v>
      </c>
    </row>
    <row r="206" spans="1:19" x14ac:dyDescent="0.3">
      <c r="A206" s="2" t="s">
        <v>374</v>
      </c>
      <c r="B206" s="2">
        <v>3</v>
      </c>
      <c r="C206" s="2" t="s">
        <v>94</v>
      </c>
      <c r="D206" s="2" t="s">
        <v>177</v>
      </c>
      <c r="F206" s="17">
        <f t="shared" si="11"/>
        <v>0.33333333333333331</v>
      </c>
      <c r="G206" s="17">
        <f t="shared" si="12"/>
        <v>0</v>
      </c>
      <c r="H206" s="17">
        <f t="shared" si="12"/>
        <v>0</v>
      </c>
      <c r="I206" s="17">
        <f t="shared" si="12"/>
        <v>0</v>
      </c>
      <c r="J206" s="17">
        <f t="shared" si="12"/>
        <v>0.33333333333333331</v>
      </c>
      <c r="K206" s="17">
        <f t="shared" si="12"/>
        <v>0</v>
      </c>
      <c r="L206" s="17">
        <f t="shared" si="12"/>
        <v>0</v>
      </c>
      <c r="M206" s="17">
        <f t="shared" si="12"/>
        <v>0</v>
      </c>
      <c r="N206" s="17">
        <f t="shared" si="12"/>
        <v>0</v>
      </c>
      <c r="O206" s="17">
        <f t="shared" si="12"/>
        <v>0.33333333333333331</v>
      </c>
      <c r="P206" s="17">
        <f t="shared" si="12"/>
        <v>0</v>
      </c>
      <c r="Q206" s="17">
        <f t="shared" si="12"/>
        <v>0</v>
      </c>
      <c r="R206" s="18" cm="1">
        <f t="array" ref="R206">SUMPRODUCT(ABS(F206:Q206-F205:Q205))</f>
        <v>0.66666666666666663</v>
      </c>
      <c r="S206" s="18" cm="1">
        <f t="array" ref="S206">SUMPRODUCT(ABS(G206:Q206-G205:Q205))</f>
        <v>0.33333333333333331</v>
      </c>
    </row>
    <row r="207" spans="1:19" x14ac:dyDescent="0.3">
      <c r="A207" s="2" t="s">
        <v>375</v>
      </c>
      <c r="B207" s="2">
        <v>2</v>
      </c>
      <c r="C207" s="2" t="s">
        <v>37</v>
      </c>
      <c r="D207" s="2" t="s">
        <v>69</v>
      </c>
      <c r="F207" s="17">
        <f t="shared" si="11"/>
        <v>0.66666666666666663</v>
      </c>
      <c r="G207" s="17">
        <f t="shared" si="12"/>
        <v>0</v>
      </c>
      <c r="H207" s="17">
        <f t="shared" si="12"/>
        <v>0</v>
      </c>
      <c r="I207" s="17">
        <f t="shared" si="12"/>
        <v>0</v>
      </c>
      <c r="J207" s="17">
        <f t="shared" si="12"/>
        <v>0</v>
      </c>
      <c r="K207" s="17">
        <f t="shared" si="12"/>
        <v>0</v>
      </c>
      <c r="L207" s="17">
        <f t="shared" si="12"/>
        <v>0</v>
      </c>
      <c r="M207" s="17">
        <f t="shared" si="12"/>
        <v>0</v>
      </c>
      <c r="N207" s="17">
        <f t="shared" si="12"/>
        <v>0</v>
      </c>
      <c r="O207" s="17">
        <f t="shared" si="12"/>
        <v>0.33333333333333331</v>
      </c>
      <c r="P207" s="17">
        <f t="shared" si="12"/>
        <v>0</v>
      </c>
      <c r="Q207" s="17">
        <f t="shared" si="12"/>
        <v>0</v>
      </c>
      <c r="R207" s="18" cm="1">
        <f t="array" ref="R207">SUMPRODUCT(ABS(F207:Q207-F206:Q206))</f>
        <v>0.66666666666666663</v>
      </c>
      <c r="S207" s="18" cm="1">
        <f t="array" ref="S207">SUMPRODUCT(ABS(G207:Q207-G206:Q206))</f>
        <v>0.33333333333333331</v>
      </c>
    </row>
    <row r="208" spans="1:19" x14ac:dyDescent="0.3">
      <c r="A208" s="2" t="s">
        <v>376</v>
      </c>
      <c r="B208" s="2">
        <v>40</v>
      </c>
      <c r="C208" s="2" t="s">
        <v>5</v>
      </c>
      <c r="D208" s="2" t="s">
        <v>183</v>
      </c>
      <c r="F208" s="17">
        <f t="shared" si="11"/>
        <v>1</v>
      </c>
      <c r="G208" s="17">
        <f t="shared" si="12"/>
        <v>0</v>
      </c>
      <c r="H208" s="17">
        <f t="shared" si="12"/>
        <v>0</v>
      </c>
      <c r="I208" s="17">
        <f t="shared" si="12"/>
        <v>0</v>
      </c>
      <c r="J208" s="17">
        <f t="shared" si="12"/>
        <v>0</v>
      </c>
      <c r="K208" s="17">
        <f t="shared" si="12"/>
        <v>0</v>
      </c>
      <c r="L208" s="17">
        <f t="shared" si="12"/>
        <v>0</v>
      </c>
      <c r="M208" s="17">
        <f t="shared" si="12"/>
        <v>0</v>
      </c>
      <c r="N208" s="17">
        <f t="shared" si="12"/>
        <v>0</v>
      </c>
      <c r="O208" s="17">
        <f t="shared" si="12"/>
        <v>0</v>
      </c>
      <c r="P208" s="17">
        <f t="shared" si="12"/>
        <v>0</v>
      </c>
      <c r="Q208" s="17">
        <f t="shared" si="12"/>
        <v>0</v>
      </c>
      <c r="R208" s="18" cm="1">
        <f t="array" ref="R208">SUMPRODUCT(ABS(F208:Q208-F207:Q207))</f>
        <v>0.66666666666666674</v>
      </c>
      <c r="S208" s="18" cm="1">
        <f t="array" ref="S208">SUMPRODUCT(ABS(G208:Q208-G207:Q207))</f>
        <v>0.33333333333333331</v>
      </c>
    </row>
    <row r="209" spans="1:19" x14ac:dyDescent="0.3">
      <c r="A209" s="2" t="s">
        <v>377</v>
      </c>
      <c r="B209" s="2">
        <v>2</v>
      </c>
      <c r="C209" s="2" t="s">
        <v>235</v>
      </c>
      <c r="D209" s="2" t="s">
        <v>378</v>
      </c>
      <c r="F209" s="17">
        <f t="shared" si="11"/>
        <v>0.33333333333333331</v>
      </c>
      <c r="G209" s="17">
        <f t="shared" si="12"/>
        <v>0</v>
      </c>
      <c r="H209" s="17">
        <f t="shared" si="12"/>
        <v>0.33333333333333331</v>
      </c>
      <c r="I209" s="17">
        <f t="shared" si="12"/>
        <v>0</v>
      </c>
      <c r="J209" s="17">
        <f t="shared" si="12"/>
        <v>0.33333333333333331</v>
      </c>
      <c r="K209" s="17">
        <f t="shared" si="12"/>
        <v>0</v>
      </c>
      <c r="L209" s="17">
        <f t="shared" si="12"/>
        <v>0</v>
      </c>
      <c r="M209" s="17">
        <f t="shared" si="12"/>
        <v>0</v>
      </c>
      <c r="N209" s="17">
        <f t="shared" si="12"/>
        <v>0</v>
      </c>
      <c r="O209" s="17">
        <f t="shared" si="12"/>
        <v>0</v>
      </c>
      <c r="P209" s="17">
        <f t="shared" si="12"/>
        <v>0</v>
      </c>
      <c r="Q209" s="17">
        <f t="shared" si="12"/>
        <v>0</v>
      </c>
      <c r="R209" s="18" cm="1">
        <f t="array" ref="R209">SUMPRODUCT(ABS(F209:Q209-F208:Q208))</f>
        <v>1.3333333333333333</v>
      </c>
      <c r="S209" s="18" cm="1">
        <f t="array" ref="S209">SUMPRODUCT(ABS(G209:Q209-G208:Q208))</f>
        <v>0.66666666666666663</v>
      </c>
    </row>
    <row r="210" spans="1:19" x14ac:dyDescent="0.3">
      <c r="A210" s="2" t="s">
        <v>379</v>
      </c>
      <c r="B210" s="2">
        <v>56</v>
      </c>
      <c r="C210" s="2" t="s">
        <v>373</v>
      </c>
      <c r="D210" s="2" t="s">
        <v>92</v>
      </c>
      <c r="F210" s="17">
        <f t="shared" si="11"/>
        <v>0</v>
      </c>
      <c r="G210" s="17">
        <f t="shared" si="12"/>
        <v>0</v>
      </c>
      <c r="H210" s="17">
        <f t="shared" si="12"/>
        <v>0.33333333333333331</v>
      </c>
      <c r="I210" s="17">
        <f t="shared" si="12"/>
        <v>0</v>
      </c>
      <c r="J210" s="17">
        <f t="shared" si="12"/>
        <v>0.33333333333333331</v>
      </c>
      <c r="K210" s="17">
        <f t="shared" si="12"/>
        <v>0</v>
      </c>
      <c r="L210" s="17">
        <f t="shared" si="12"/>
        <v>0</v>
      </c>
      <c r="M210" s="17">
        <f t="shared" si="12"/>
        <v>0</v>
      </c>
      <c r="N210" s="17">
        <f t="shared" si="12"/>
        <v>0</v>
      </c>
      <c r="O210" s="17">
        <f t="shared" si="12"/>
        <v>0.33333333333333331</v>
      </c>
      <c r="P210" s="17">
        <f t="shared" si="12"/>
        <v>0</v>
      </c>
      <c r="Q210" s="17">
        <f t="shared" si="12"/>
        <v>0</v>
      </c>
      <c r="R210" s="18" cm="1">
        <f t="array" ref="R210">SUMPRODUCT(ABS(F210:Q210-F209:Q209))</f>
        <v>0.66666666666666663</v>
      </c>
      <c r="S210" s="18" cm="1">
        <f t="array" ref="S210">SUMPRODUCT(ABS(G210:Q210-G209:Q209))</f>
        <v>0.33333333333333331</v>
      </c>
    </row>
    <row r="211" spans="1:19" x14ac:dyDescent="0.3">
      <c r="A211" s="2" t="s">
        <v>380</v>
      </c>
      <c r="B211" s="2">
        <v>5</v>
      </c>
      <c r="C211" s="2" t="s">
        <v>235</v>
      </c>
      <c r="D211" s="2" t="s">
        <v>15</v>
      </c>
      <c r="F211" s="17">
        <f t="shared" si="11"/>
        <v>0.33333333333333331</v>
      </c>
      <c r="G211" s="17">
        <f t="shared" si="12"/>
        <v>0</v>
      </c>
      <c r="H211" s="17">
        <f t="shared" si="12"/>
        <v>0.33333333333333331</v>
      </c>
      <c r="I211" s="17">
        <f t="shared" si="12"/>
        <v>0</v>
      </c>
      <c r="J211" s="17">
        <f t="shared" si="12"/>
        <v>0.33333333333333331</v>
      </c>
      <c r="K211" s="17">
        <f t="shared" si="12"/>
        <v>0</v>
      </c>
      <c r="L211" s="17">
        <f t="shared" si="12"/>
        <v>0</v>
      </c>
      <c r="M211" s="17">
        <f t="shared" si="12"/>
        <v>0</v>
      </c>
      <c r="N211" s="17">
        <f t="shared" si="12"/>
        <v>0</v>
      </c>
      <c r="O211" s="17">
        <f t="shared" si="12"/>
        <v>0</v>
      </c>
      <c r="P211" s="17">
        <f t="shared" si="12"/>
        <v>0</v>
      </c>
      <c r="Q211" s="17">
        <f t="shared" si="12"/>
        <v>0</v>
      </c>
      <c r="R211" s="18" cm="1">
        <f t="array" ref="R211">SUMPRODUCT(ABS(F211:Q211-F210:Q210))</f>
        <v>0.66666666666666663</v>
      </c>
      <c r="S211" s="18" cm="1">
        <f t="array" ref="S211">SUMPRODUCT(ABS(G211:Q211-G210:Q210))</f>
        <v>0.33333333333333331</v>
      </c>
    </row>
    <row r="212" spans="1:19" x14ac:dyDescent="0.3">
      <c r="A212" s="2" t="s">
        <v>381</v>
      </c>
      <c r="B212" s="2">
        <v>1</v>
      </c>
      <c r="C212" s="2" t="s">
        <v>373</v>
      </c>
      <c r="D212" s="2" t="s">
        <v>92</v>
      </c>
      <c r="F212" s="17">
        <f t="shared" si="11"/>
        <v>0</v>
      </c>
      <c r="G212" s="17">
        <f t="shared" si="12"/>
        <v>0</v>
      </c>
      <c r="H212" s="17">
        <f t="shared" si="12"/>
        <v>0.33333333333333331</v>
      </c>
      <c r="I212" s="17">
        <f t="shared" si="12"/>
        <v>0</v>
      </c>
      <c r="J212" s="17">
        <f t="shared" si="12"/>
        <v>0.33333333333333331</v>
      </c>
      <c r="K212" s="17">
        <f t="shared" si="12"/>
        <v>0</v>
      </c>
      <c r="L212" s="17">
        <f t="shared" si="12"/>
        <v>0</v>
      </c>
      <c r="M212" s="17">
        <f t="shared" si="12"/>
        <v>0</v>
      </c>
      <c r="N212" s="17">
        <f t="shared" si="12"/>
        <v>0</v>
      </c>
      <c r="O212" s="17">
        <f t="shared" si="12"/>
        <v>0.33333333333333331</v>
      </c>
      <c r="P212" s="17">
        <f t="shared" si="12"/>
        <v>0</v>
      </c>
      <c r="Q212" s="17">
        <f t="shared" si="12"/>
        <v>0</v>
      </c>
      <c r="R212" s="18" cm="1">
        <f t="array" ref="R212">SUMPRODUCT(ABS(F212:Q212-F211:Q211))</f>
        <v>0.66666666666666663</v>
      </c>
      <c r="S212" s="18" cm="1">
        <f t="array" ref="S212">SUMPRODUCT(ABS(G212:Q212-G211:Q211))</f>
        <v>0.33333333333333331</v>
      </c>
    </row>
    <row r="213" spans="1:19" x14ac:dyDescent="0.3">
      <c r="A213" s="2" t="s">
        <v>382</v>
      </c>
      <c r="B213" s="2">
        <v>6</v>
      </c>
      <c r="C213" s="2" t="s">
        <v>235</v>
      </c>
      <c r="D213" s="2" t="s">
        <v>15</v>
      </c>
      <c r="F213" s="17">
        <f t="shared" si="11"/>
        <v>0.33333333333333331</v>
      </c>
      <c r="G213" s="17">
        <f t="shared" si="12"/>
        <v>0</v>
      </c>
      <c r="H213" s="17">
        <f t="shared" si="12"/>
        <v>0.33333333333333331</v>
      </c>
      <c r="I213" s="17">
        <f t="shared" si="12"/>
        <v>0</v>
      </c>
      <c r="J213" s="17">
        <f t="shared" si="12"/>
        <v>0.33333333333333331</v>
      </c>
      <c r="K213" s="17">
        <f t="shared" si="12"/>
        <v>0</v>
      </c>
      <c r="L213" s="17">
        <f t="shared" si="12"/>
        <v>0</v>
      </c>
      <c r="M213" s="17">
        <f t="shared" si="12"/>
        <v>0</v>
      </c>
      <c r="N213" s="17">
        <f t="shared" si="12"/>
        <v>0</v>
      </c>
      <c r="O213" s="17">
        <f t="shared" si="12"/>
        <v>0</v>
      </c>
      <c r="P213" s="17">
        <f t="shared" si="12"/>
        <v>0</v>
      </c>
      <c r="Q213" s="17">
        <f t="shared" si="12"/>
        <v>0</v>
      </c>
      <c r="R213" s="18" cm="1">
        <f t="array" ref="R213">SUMPRODUCT(ABS(F213:Q213-F212:Q212))</f>
        <v>0.66666666666666663</v>
      </c>
      <c r="S213" s="18" cm="1">
        <f t="array" ref="S213">SUMPRODUCT(ABS(G213:Q213-G212:Q212))</f>
        <v>0.33333333333333331</v>
      </c>
    </row>
    <row r="214" spans="1:19" x14ac:dyDescent="0.3">
      <c r="A214" s="2" t="s">
        <v>383</v>
      </c>
      <c r="B214" s="2">
        <v>41</v>
      </c>
      <c r="C214" s="2" t="s">
        <v>366</v>
      </c>
      <c r="D214" s="2" t="s">
        <v>12</v>
      </c>
      <c r="F214" s="17">
        <f t="shared" si="11"/>
        <v>0</v>
      </c>
      <c r="G214" s="17">
        <f t="shared" si="12"/>
        <v>0</v>
      </c>
      <c r="H214" s="17">
        <f t="shared" si="12"/>
        <v>0.33333333333333331</v>
      </c>
      <c r="I214" s="17">
        <f t="shared" si="12"/>
        <v>0</v>
      </c>
      <c r="J214" s="17">
        <f t="shared" si="12"/>
        <v>0.33333333333333331</v>
      </c>
      <c r="K214" s="17">
        <f t="shared" si="12"/>
        <v>0</v>
      </c>
      <c r="L214" s="17">
        <f t="shared" si="12"/>
        <v>0</v>
      </c>
      <c r="M214" s="17">
        <f t="shared" si="12"/>
        <v>0</v>
      </c>
      <c r="N214" s="17">
        <f t="shared" si="12"/>
        <v>0</v>
      </c>
      <c r="O214" s="17">
        <f t="shared" si="12"/>
        <v>0</v>
      </c>
      <c r="P214" s="17">
        <f t="shared" si="12"/>
        <v>0</v>
      </c>
      <c r="Q214" s="17">
        <f t="shared" si="12"/>
        <v>0.33333333333333331</v>
      </c>
      <c r="R214" s="18" cm="1">
        <f t="array" ref="R214">SUMPRODUCT(ABS(F214:Q214-F213:Q213))</f>
        <v>0.66666666666666663</v>
      </c>
      <c r="S214" s="18" cm="1">
        <f t="array" ref="S214">SUMPRODUCT(ABS(G214:Q214-G213:Q213))</f>
        <v>0.33333333333333331</v>
      </c>
    </row>
    <row r="215" spans="1:19" x14ac:dyDescent="0.3">
      <c r="A215" s="2" t="s">
        <v>384</v>
      </c>
      <c r="B215" s="2">
        <v>2</v>
      </c>
      <c r="C215" s="2" t="s">
        <v>5</v>
      </c>
      <c r="D215" s="2" t="s">
        <v>385</v>
      </c>
      <c r="F215" s="17">
        <f t="shared" si="11"/>
        <v>1</v>
      </c>
      <c r="G215" s="17">
        <f t="shared" si="12"/>
        <v>0</v>
      </c>
      <c r="H215" s="17">
        <f t="shared" si="12"/>
        <v>0</v>
      </c>
      <c r="I215" s="17">
        <f t="shared" si="12"/>
        <v>0</v>
      </c>
      <c r="J215" s="17">
        <f t="shared" si="12"/>
        <v>0</v>
      </c>
      <c r="K215" s="17">
        <f t="shared" si="12"/>
        <v>0</v>
      </c>
      <c r="L215" s="17">
        <f t="shared" si="12"/>
        <v>0</v>
      </c>
      <c r="M215" s="17">
        <f t="shared" si="12"/>
        <v>0</v>
      </c>
      <c r="N215" s="17">
        <f t="shared" si="12"/>
        <v>0</v>
      </c>
      <c r="O215" s="17">
        <f t="shared" si="12"/>
        <v>0</v>
      </c>
      <c r="P215" s="17">
        <f t="shared" si="12"/>
        <v>0</v>
      </c>
      <c r="Q215" s="17">
        <f t="shared" si="12"/>
        <v>0</v>
      </c>
      <c r="R215" s="18" cm="1">
        <f t="array" ref="R215">SUMPRODUCT(ABS(F215:Q215-F214:Q214))</f>
        <v>1.9999999999999998</v>
      </c>
      <c r="S215" s="18" cm="1">
        <f t="array" ref="S215">SUMPRODUCT(ABS(G215:Q215-G214:Q214))</f>
        <v>1</v>
      </c>
    </row>
    <row r="216" spans="1:19" x14ac:dyDescent="0.3">
      <c r="A216" s="2" t="s">
        <v>386</v>
      </c>
      <c r="B216" s="2">
        <v>8</v>
      </c>
      <c r="C216" s="2" t="s">
        <v>37</v>
      </c>
      <c r="D216" s="2" t="s">
        <v>38</v>
      </c>
      <c r="F216" s="17">
        <f t="shared" si="11"/>
        <v>0.66666666666666663</v>
      </c>
      <c r="G216" s="17">
        <f t="shared" si="12"/>
        <v>0</v>
      </c>
      <c r="H216" s="17">
        <f t="shared" si="12"/>
        <v>0</v>
      </c>
      <c r="I216" s="17">
        <f t="shared" si="12"/>
        <v>0</v>
      </c>
      <c r="J216" s="17">
        <f t="shared" si="12"/>
        <v>0</v>
      </c>
      <c r="K216" s="17">
        <f t="shared" si="12"/>
        <v>0</v>
      </c>
      <c r="L216" s="17">
        <f t="shared" si="12"/>
        <v>0</v>
      </c>
      <c r="M216" s="17">
        <f t="shared" si="12"/>
        <v>0</v>
      </c>
      <c r="N216" s="17">
        <f t="shared" si="12"/>
        <v>0</v>
      </c>
      <c r="O216" s="17">
        <f t="shared" si="12"/>
        <v>0.33333333333333331</v>
      </c>
      <c r="P216" s="17">
        <f t="shared" si="12"/>
        <v>0</v>
      </c>
      <c r="Q216" s="17">
        <f t="shared" si="12"/>
        <v>0</v>
      </c>
      <c r="R216" s="18" cm="1">
        <f t="array" ref="R216">SUMPRODUCT(ABS(F216:Q216-F215:Q215))</f>
        <v>0.66666666666666674</v>
      </c>
      <c r="S216" s="18" cm="1">
        <f t="array" ref="S216">SUMPRODUCT(ABS(G216:Q216-G215:Q215))</f>
        <v>0.33333333333333331</v>
      </c>
    </row>
    <row r="217" spans="1:19" x14ac:dyDescent="0.3">
      <c r="A217" s="2" t="s">
        <v>387</v>
      </c>
      <c r="B217" s="2">
        <v>2</v>
      </c>
      <c r="C217" s="2" t="s">
        <v>40</v>
      </c>
      <c r="D217" s="2" t="s">
        <v>41</v>
      </c>
      <c r="F217" s="17">
        <f t="shared" si="11"/>
        <v>0.33333333333333331</v>
      </c>
      <c r="G217" s="17">
        <f t="shared" si="12"/>
        <v>0</v>
      </c>
      <c r="H217" s="17">
        <f t="shared" si="12"/>
        <v>0</v>
      </c>
      <c r="I217" s="17">
        <f t="shared" si="12"/>
        <v>0</v>
      </c>
      <c r="J217" s="17">
        <f t="shared" si="12"/>
        <v>0</v>
      </c>
      <c r="K217" s="17">
        <f t="shared" si="12"/>
        <v>0</v>
      </c>
      <c r="L217" s="17">
        <f t="shared" si="12"/>
        <v>0.33333333333333331</v>
      </c>
      <c r="M217" s="17">
        <f t="shared" si="12"/>
        <v>0</v>
      </c>
      <c r="N217" s="17">
        <f t="shared" si="12"/>
        <v>0</v>
      </c>
      <c r="O217" s="17">
        <f t="shared" si="12"/>
        <v>0.33333333333333331</v>
      </c>
      <c r="P217" s="17">
        <f t="shared" si="12"/>
        <v>0</v>
      </c>
      <c r="Q217" s="17">
        <f t="shared" si="12"/>
        <v>0</v>
      </c>
      <c r="R217" s="18" cm="1">
        <f t="array" ref="R217">SUMPRODUCT(ABS(F217:Q217-F216:Q216))</f>
        <v>0.66666666666666663</v>
      </c>
      <c r="S217" s="18" cm="1">
        <f t="array" ref="S217">SUMPRODUCT(ABS(G217:Q217-G216:Q216))</f>
        <v>0.33333333333333331</v>
      </c>
    </row>
    <row r="218" spans="1:19" x14ac:dyDescent="0.3">
      <c r="A218" s="2" t="s">
        <v>388</v>
      </c>
      <c r="B218" s="2">
        <v>15</v>
      </c>
      <c r="C218" s="2" t="s">
        <v>43</v>
      </c>
      <c r="D218" s="2" t="s">
        <v>44</v>
      </c>
      <c r="F218" s="17">
        <f t="shared" si="11"/>
        <v>0.66666666666666663</v>
      </c>
      <c r="G218" s="17">
        <f t="shared" si="12"/>
        <v>0</v>
      </c>
      <c r="H218" s="17">
        <f t="shared" si="12"/>
        <v>0</v>
      </c>
      <c r="I218" s="17">
        <f t="shared" si="12"/>
        <v>0</v>
      </c>
      <c r="J218" s="17">
        <f t="shared" si="12"/>
        <v>0</v>
      </c>
      <c r="K218" s="17">
        <f t="shared" si="12"/>
        <v>0</v>
      </c>
      <c r="L218" s="17">
        <f t="shared" si="12"/>
        <v>0.33333333333333331</v>
      </c>
      <c r="M218" s="17">
        <f t="shared" si="12"/>
        <v>0</v>
      </c>
      <c r="N218" s="17">
        <f t="shared" si="12"/>
        <v>0</v>
      </c>
      <c r="O218" s="17">
        <f t="shared" si="12"/>
        <v>0</v>
      </c>
      <c r="P218" s="17">
        <f t="shared" si="12"/>
        <v>0</v>
      </c>
      <c r="Q218" s="17">
        <f t="shared" si="12"/>
        <v>0</v>
      </c>
      <c r="R218" s="18" cm="1">
        <f t="array" ref="R218">SUMPRODUCT(ABS(F218:Q218-F217:Q217))</f>
        <v>0.66666666666666663</v>
      </c>
      <c r="S218" s="18" cm="1">
        <f t="array" ref="S218">SUMPRODUCT(ABS(G218:Q218-G217:Q217))</f>
        <v>0.33333333333333331</v>
      </c>
    </row>
    <row r="219" spans="1:19" x14ac:dyDescent="0.3">
      <c r="A219" s="2" t="s">
        <v>389</v>
      </c>
      <c r="B219" s="2">
        <v>5</v>
      </c>
      <c r="C219" s="2" t="s">
        <v>5</v>
      </c>
      <c r="D219" s="2" t="s">
        <v>111</v>
      </c>
      <c r="F219" s="17">
        <f t="shared" si="11"/>
        <v>1</v>
      </c>
      <c r="G219" s="17">
        <f t="shared" si="12"/>
        <v>0</v>
      </c>
      <c r="H219" s="17">
        <f t="shared" si="12"/>
        <v>0</v>
      </c>
      <c r="I219" s="17">
        <f t="shared" si="12"/>
        <v>0</v>
      </c>
      <c r="J219" s="17">
        <f t="shared" si="12"/>
        <v>0</v>
      </c>
      <c r="K219" s="17">
        <f t="shared" si="12"/>
        <v>0</v>
      </c>
      <c r="L219" s="17">
        <f t="shared" si="12"/>
        <v>0</v>
      </c>
      <c r="M219" s="17">
        <f t="shared" si="12"/>
        <v>0</v>
      </c>
      <c r="N219" s="17">
        <f t="shared" si="12"/>
        <v>0</v>
      </c>
      <c r="O219" s="17">
        <f t="shared" si="12"/>
        <v>0</v>
      </c>
      <c r="P219" s="17">
        <f t="shared" si="12"/>
        <v>0</v>
      </c>
      <c r="Q219" s="17">
        <f t="shared" si="12"/>
        <v>0</v>
      </c>
      <c r="R219" s="18" cm="1">
        <f t="array" ref="R219">SUMPRODUCT(ABS(F219:Q219-F218:Q218))</f>
        <v>0.66666666666666674</v>
      </c>
      <c r="S219" s="18" cm="1">
        <f t="array" ref="S219">SUMPRODUCT(ABS(G219:Q219-G218:Q218))</f>
        <v>0.33333333333333331</v>
      </c>
    </row>
    <row r="220" spans="1:19" x14ac:dyDescent="0.3">
      <c r="A220" s="2" t="s">
        <v>390</v>
      </c>
      <c r="B220" s="2">
        <v>4</v>
      </c>
      <c r="C220" s="2" t="s">
        <v>132</v>
      </c>
      <c r="D220" s="2" t="s">
        <v>136</v>
      </c>
      <c r="F220" s="17">
        <f t="shared" si="11"/>
        <v>0.66666666666666663</v>
      </c>
      <c r="G220" s="17">
        <f t="shared" si="12"/>
        <v>0</v>
      </c>
      <c r="H220" s="17">
        <f t="shared" si="12"/>
        <v>0</v>
      </c>
      <c r="I220" s="17">
        <f t="shared" si="12"/>
        <v>0</v>
      </c>
      <c r="J220" s="17">
        <f t="shared" si="12"/>
        <v>0</v>
      </c>
      <c r="K220" s="17">
        <f t="shared" si="12"/>
        <v>0</v>
      </c>
      <c r="L220" s="17">
        <f t="shared" si="12"/>
        <v>0</v>
      </c>
      <c r="M220" s="17">
        <f t="shared" si="12"/>
        <v>0</v>
      </c>
      <c r="N220" s="17">
        <f t="shared" si="12"/>
        <v>0</v>
      </c>
      <c r="O220" s="17">
        <f t="shared" si="12"/>
        <v>0</v>
      </c>
      <c r="P220" s="17">
        <f t="shared" si="12"/>
        <v>0.33333333333333331</v>
      </c>
      <c r="Q220" s="17">
        <f t="shared" si="12"/>
        <v>0</v>
      </c>
      <c r="R220" s="18" cm="1">
        <f t="array" ref="R220">SUMPRODUCT(ABS(F220:Q220-F219:Q219))</f>
        <v>0.66666666666666674</v>
      </c>
      <c r="S220" s="18" cm="1">
        <f t="array" ref="S220">SUMPRODUCT(ABS(G220:Q220-G219:Q219))</f>
        <v>0.33333333333333331</v>
      </c>
    </row>
    <row r="221" spans="1:19" x14ac:dyDescent="0.3">
      <c r="A221" s="2" t="s">
        <v>391</v>
      </c>
      <c r="B221" s="2">
        <v>3</v>
      </c>
      <c r="C221" s="2" t="s">
        <v>5</v>
      </c>
      <c r="D221" s="2" t="s">
        <v>134</v>
      </c>
      <c r="F221" s="17">
        <f t="shared" si="11"/>
        <v>1</v>
      </c>
      <c r="G221" s="17">
        <f t="shared" si="12"/>
        <v>0</v>
      </c>
      <c r="H221" s="17">
        <f t="shared" si="12"/>
        <v>0</v>
      </c>
      <c r="I221" s="17">
        <f t="shared" si="12"/>
        <v>0</v>
      </c>
      <c r="J221" s="17">
        <f t="shared" si="12"/>
        <v>0</v>
      </c>
      <c r="K221" s="17">
        <f t="shared" si="12"/>
        <v>0</v>
      </c>
      <c r="L221" s="17">
        <f t="shared" ref="G221:Q243" si="13">_xlfn.LET(_xlpm.t," "&amp;$C221&amp;" ",_xlpm.p,SEARCH(" "&amp;L$1&amp;" ",_xlpm.t),IFERROR(ROUND(VALUE(MID(_xlpm.t,_xlpm.p+LEN(L$1)+2,FIND("%",_xlpm.t,_xlpm.p)-_xlpm.p-LEN(L$1)-2))*3/100,0)/3,0))</f>
        <v>0</v>
      </c>
      <c r="M221" s="17">
        <f t="shared" si="13"/>
        <v>0</v>
      </c>
      <c r="N221" s="17">
        <f t="shared" si="13"/>
        <v>0</v>
      </c>
      <c r="O221" s="17">
        <f t="shared" si="13"/>
        <v>0</v>
      </c>
      <c r="P221" s="17">
        <f t="shared" si="13"/>
        <v>0</v>
      </c>
      <c r="Q221" s="17">
        <f t="shared" si="13"/>
        <v>0</v>
      </c>
      <c r="R221" s="18" cm="1">
        <f t="array" ref="R221">SUMPRODUCT(ABS(F221:Q221-F220:Q220))</f>
        <v>0.66666666666666674</v>
      </c>
      <c r="S221" s="18" cm="1">
        <f t="array" ref="S221">SUMPRODUCT(ABS(G221:Q221-G220:Q220))</f>
        <v>0.33333333333333331</v>
      </c>
    </row>
    <row r="222" spans="1:19" x14ac:dyDescent="0.3">
      <c r="A222" s="2" t="s">
        <v>392</v>
      </c>
      <c r="B222" s="2">
        <v>3</v>
      </c>
      <c r="C222" s="2" t="s">
        <v>202</v>
      </c>
      <c r="D222" s="2" t="s">
        <v>231</v>
      </c>
      <c r="F222" s="17">
        <f t="shared" si="11"/>
        <v>0.66666666666666663</v>
      </c>
      <c r="G222" s="17">
        <f t="shared" si="13"/>
        <v>0</v>
      </c>
      <c r="H222" s="17">
        <f t="shared" si="13"/>
        <v>0.33333333333333331</v>
      </c>
      <c r="I222" s="17">
        <f t="shared" si="13"/>
        <v>0</v>
      </c>
      <c r="J222" s="17">
        <f t="shared" si="13"/>
        <v>0</v>
      </c>
      <c r="K222" s="17">
        <f t="shared" si="13"/>
        <v>0</v>
      </c>
      <c r="L222" s="17">
        <f t="shared" si="13"/>
        <v>0</v>
      </c>
      <c r="M222" s="17">
        <f t="shared" si="13"/>
        <v>0</v>
      </c>
      <c r="N222" s="17">
        <f t="shared" si="13"/>
        <v>0</v>
      </c>
      <c r="O222" s="17">
        <f t="shared" si="13"/>
        <v>0</v>
      </c>
      <c r="P222" s="17">
        <f t="shared" si="13"/>
        <v>0</v>
      </c>
      <c r="Q222" s="17">
        <f t="shared" si="13"/>
        <v>0</v>
      </c>
      <c r="R222" s="18" cm="1">
        <f t="array" ref="R222">SUMPRODUCT(ABS(F222:Q222-F221:Q221))</f>
        <v>0.66666666666666674</v>
      </c>
      <c r="S222" s="18" cm="1">
        <f t="array" ref="S222">SUMPRODUCT(ABS(G222:Q222-G221:Q221))</f>
        <v>0.33333333333333331</v>
      </c>
    </row>
    <row r="223" spans="1:19" x14ac:dyDescent="0.3">
      <c r="A223" s="2" t="s">
        <v>393</v>
      </c>
      <c r="B223" s="2">
        <v>25</v>
      </c>
      <c r="C223" s="2" t="s">
        <v>322</v>
      </c>
      <c r="D223" s="2" t="s">
        <v>50</v>
      </c>
      <c r="F223" s="17">
        <f t="shared" si="11"/>
        <v>0.33333333333333331</v>
      </c>
      <c r="G223" s="17">
        <f t="shared" si="13"/>
        <v>0</v>
      </c>
      <c r="H223" s="17">
        <f t="shared" si="13"/>
        <v>0.33333333333333331</v>
      </c>
      <c r="I223" s="17">
        <f t="shared" si="13"/>
        <v>0</v>
      </c>
      <c r="J223" s="17">
        <f t="shared" si="13"/>
        <v>0</v>
      </c>
      <c r="K223" s="17">
        <f t="shared" si="13"/>
        <v>0.33333333333333331</v>
      </c>
      <c r="L223" s="17">
        <f t="shared" si="13"/>
        <v>0</v>
      </c>
      <c r="M223" s="17">
        <f t="shared" si="13"/>
        <v>0</v>
      </c>
      <c r="N223" s="17">
        <f t="shared" si="13"/>
        <v>0</v>
      </c>
      <c r="O223" s="17">
        <f t="shared" si="13"/>
        <v>0</v>
      </c>
      <c r="P223" s="17">
        <f t="shared" si="13"/>
        <v>0</v>
      </c>
      <c r="Q223" s="17">
        <f t="shared" si="13"/>
        <v>0</v>
      </c>
      <c r="R223" s="18" cm="1">
        <f t="array" ref="R223">SUMPRODUCT(ABS(F223:Q223-F222:Q222))</f>
        <v>0.66666666666666663</v>
      </c>
      <c r="S223" s="18" cm="1">
        <f t="array" ref="S223">SUMPRODUCT(ABS(G223:Q223-G222:Q222))</f>
        <v>0.33333333333333331</v>
      </c>
    </row>
    <row r="224" spans="1:19" x14ac:dyDescent="0.3">
      <c r="A224" s="2" t="s">
        <v>394</v>
      </c>
      <c r="B224" s="2">
        <v>6</v>
      </c>
      <c r="C224" s="2" t="s">
        <v>68</v>
      </c>
      <c r="D224" s="2" t="s">
        <v>195</v>
      </c>
      <c r="F224" s="17">
        <f t="shared" si="11"/>
        <v>0.66666666666666663</v>
      </c>
      <c r="G224" s="17">
        <f t="shared" si="13"/>
        <v>0</v>
      </c>
      <c r="H224" s="17">
        <f t="shared" si="13"/>
        <v>0</v>
      </c>
      <c r="I224" s="17">
        <f t="shared" si="13"/>
        <v>0</v>
      </c>
      <c r="J224" s="17">
        <f t="shared" si="13"/>
        <v>0</v>
      </c>
      <c r="K224" s="17">
        <f t="shared" si="13"/>
        <v>0.33333333333333331</v>
      </c>
      <c r="L224" s="17">
        <f t="shared" si="13"/>
        <v>0</v>
      </c>
      <c r="M224" s="17">
        <f t="shared" si="13"/>
        <v>0</v>
      </c>
      <c r="N224" s="17">
        <f t="shared" si="13"/>
        <v>0</v>
      </c>
      <c r="O224" s="17">
        <f t="shared" si="13"/>
        <v>0</v>
      </c>
      <c r="P224" s="17">
        <f t="shared" si="13"/>
        <v>0</v>
      </c>
      <c r="Q224" s="17">
        <f t="shared" si="13"/>
        <v>0</v>
      </c>
      <c r="R224" s="18" cm="1">
        <f t="array" ref="R224">SUMPRODUCT(ABS(F224:Q224-F223:Q223))</f>
        <v>0.66666666666666663</v>
      </c>
      <c r="S224" s="18" cm="1">
        <f t="array" ref="S224">SUMPRODUCT(ABS(G224:Q224-G223:Q223))</f>
        <v>0.33333333333333331</v>
      </c>
    </row>
    <row r="225" spans="1:19" x14ac:dyDescent="0.3">
      <c r="A225" s="2" t="s">
        <v>395</v>
      </c>
      <c r="B225" s="2">
        <v>2</v>
      </c>
      <c r="C225" s="2" t="s">
        <v>80</v>
      </c>
      <c r="D225" s="2" t="s">
        <v>41</v>
      </c>
      <c r="F225" s="17">
        <f t="shared" si="11"/>
        <v>0.33333333333333331</v>
      </c>
      <c r="G225" s="17">
        <f t="shared" si="13"/>
        <v>0</v>
      </c>
      <c r="H225" s="17">
        <f t="shared" si="13"/>
        <v>0</v>
      </c>
      <c r="I225" s="17">
        <f t="shared" si="13"/>
        <v>0</v>
      </c>
      <c r="J225" s="17">
        <f t="shared" si="13"/>
        <v>0</v>
      </c>
      <c r="K225" s="17">
        <f t="shared" si="13"/>
        <v>0.33333333333333331</v>
      </c>
      <c r="L225" s="17">
        <f t="shared" si="13"/>
        <v>0.33333333333333331</v>
      </c>
      <c r="M225" s="17">
        <f t="shared" si="13"/>
        <v>0</v>
      </c>
      <c r="N225" s="17">
        <f t="shared" si="13"/>
        <v>0</v>
      </c>
      <c r="O225" s="17">
        <f t="shared" si="13"/>
        <v>0</v>
      </c>
      <c r="P225" s="17">
        <f t="shared" si="13"/>
        <v>0</v>
      </c>
      <c r="Q225" s="17">
        <f t="shared" si="13"/>
        <v>0</v>
      </c>
      <c r="R225" s="18" cm="1">
        <f t="array" ref="R225">SUMPRODUCT(ABS(F225:Q225-F224:Q224))</f>
        <v>0.66666666666666663</v>
      </c>
      <c r="S225" s="18" cm="1">
        <f t="array" ref="S225">SUMPRODUCT(ABS(G225:Q225-G224:Q224))</f>
        <v>0.33333333333333331</v>
      </c>
    </row>
    <row r="226" spans="1:19" x14ac:dyDescent="0.3">
      <c r="A226" s="2" t="s">
        <v>396</v>
      </c>
      <c r="B226" s="2">
        <v>4</v>
      </c>
      <c r="C226" s="2" t="s">
        <v>320</v>
      </c>
      <c r="D226" s="2" t="s">
        <v>179</v>
      </c>
      <c r="F226" s="17">
        <f t="shared" si="11"/>
        <v>0</v>
      </c>
      <c r="G226" s="17">
        <f t="shared" si="13"/>
        <v>0</v>
      </c>
      <c r="H226" s="17">
        <f t="shared" si="13"/>
        <v>0.33333333333333331</v>
      </c>
      <c r="I226" s="17">
        <f t="shared" si="13"/>
        <v>0</v>
      </c>
      <c r="J226" s="17">
        <f t="shared" si="13"/>
        <v>0</v>
      </c>
      <c r="K226" s="17">
        <f t="shared" si="13"/>
        <v>0.33333333333333331</v>
      </c>
      <c r="L226" s="17">
        <f t="shared" si="13"/>
        <v>0.33333333333333331</v>
      </c>
      <c r="M226" s="17">
        <f t="shared" si="13"/>
        <v>0</v>
      </c>
      <c r="N226" s="17">
        <f t="shared" si="13"/>
        <v>0</v>
      </c>
      <c r="O226" s="17">
        <f t="shared" si="13"/>
        <v>0</v>
      </c>
      <c r="P226" s="17">
        <f t="shared" si="13"/>
        <v>0</v>
      </c>
      <c r="Q226" s="17">
        <f t="shared" si="13"/>
        <v>0</v>
      </c>
      <c r="R226" s="18" cm="1">
        <f t="array" ref="R226">SUMPRODUCT(ABS(F226:Q226-F225:Q225))</f>
        <v>0.66666666666666663</v>
      </c>
      <c r="S226" s="18" cm="1">
        <f t="array" ref="S226">SUMPRODUCT(ABS(G226:Q226-G225:Q225))</f>
        <v>0.33333333333333331</v>
      </c>
    </row>
    <row r="227" spans="1:19" x14ac:dyDescent="0.3">
      <c r="A227" s="2" t="s">
        <v>397</v>
      </c>
      <c r="B227" s="2">
        <v>1</v>
      </c>
      <c r="C227" s="2" t="s">
        <v>324</v>
      </c>
      <c r="D227" s="2" t="s">
        <v>398</v>
      </c>
      <c r="F227" s="17">
        <f t="shared" si="11"/>
        <v>0</v>
      </c>
      <c r="G227" s="17">
        <f t="shared" si="13"/>
        <v>0</v>
      </c>
      <c r="H227" s="17">
        <f t="shared" si="13"/>
        <v>0.33333333333333331</v>
      </c>
      <c r="I227" s="17">
        <f t="shared" si="13"/>
        <v>0.33333333333333331</v>
      </c>
      <c r="J227" s="17">
        <f t="shared" si="13"/>
        <v>0</v>
      </c>
      <c r="K227" s="17">
        <f t="shared" si="13"/>
        <v>0.33333333333333331</v>
      </c>
      <c r="L227" s="17">
        <f t="shared" si="13"/>
        <v>0</v>
      </c>
      <c r="M227" s="17">
        <f t="shared" si="13"/>
        <v>0</v>
      </c>
      <c r="N227" s="17">
        <f t="shared" si="13"/>
        <v>0</v>
      </c>
      <c r="O227" s="17">
        <f t="shared" si="13"/>
        <v>0</v>
      </c>
      <c r="P227" s="17">
        <f t="shared" si="13"/>
        <v>0</v>
      </c>
      <c r="Q227" s="17">
        <f t="shared" si="13"/>
        <v>0</v>
      </c>
      <c r="R227" s="18" cm="1">
        <f t="array" ref="R227">SUMPRODUCT(ABS(F227:Q227-F226:Q226))</f>
        <v>0.66666666666666663</v>
      </c>
      <c r="S227" s="18" cm="1">
        <f t="array" ref="S227">SUMPRODUCT(ABS(G227:Q227-G226:Q226))</f>
        <v>0.66666666666666663</v>
      </c>
    </row>
    <row r="228" spans="1:19" x14ac:dyDescent="0.3">
      <c r="A228" s="2" t="s">
        <v>399</v>
      </c>
      <c r="B228" s="2">
        <v>4</v>
      </c>
      <c r="C228" s="2" t="s">
        <v>400</v>
      </c>
      <c r="D228" s="2" t="s">
        <v>177</v>
      </c>
      <c r="F228" s="17">
        <f t="shared" si="11"/>
        <v>0.33333333333333331</v>
      </c>
      <c r="G228" s="17">
        <f t="shared" si="13"/>
        <v>0</v>
      </c>
      <c r="H228" s="17">
        <f t="shared" si="13"/>
        <v>0</v>
      </c>
      <c r="I228" s="17">
        <f t="shared" si="13"/>
        <v>0.33333333333333331</v>
      </c>
      <c r="J228" s="17">
        <f t="shared" si="13"/>
        <v>0</v>
      </c>
      <c r="K228" s="17">
        <f t="shared" si="13"/>
        <v>0.33333333333333331</v>
      </c>
      <c r="L228" s="17">
        <f t="shared" si="13"/>
        <v>0</v>
      </c>
      <c r="M228" s="17">
        <f t="shared" si="13"/>
        <v>0</v>
      </c>
      <c r="N228" s="17">
        <f t="shared" si="13"/>
        <v>0</v>
      </c>
      <c r="O228" s="17">
        <f t="shared" si="13"/>
        <v>0</v>
      </c>
      <c r="P228" s="17">
        <f t="shared" si="13"/>
        <v>0</v>
      </c>
      <c r="Q228" s="17">
        <f t="shared" si="13"/>
        <v>0</v>
      </c>
      <c r="R228" s="18" cm="1">
        <f t="array" ref="R228">SUMPRODUCT(ABS(F228:Q228-F227:Q227))</f>
        <v>0.66666666666666663</v>
      </c>
      <c r="S228" s="18" cm="1">
        <f t="array" ref="S228">SUMPRODUCT(ABS(G228:Q228-G227:Q227))</f>
        <v>0.33333333333333331</v>
      </c>
    </row>
    <row r="229" spans="1:19" x14ac:dyDescent="0.3">
      <c r="A229" s="2" t="s">
        <v>401</v>
      </c>
      <c r="B229" s="2">
        <v>16</v>
      </c>
      <c r="C229" s="2" t="s">
        <v>402</v>
      </c>
      <c r="D229" s="2" t="s">
        <v>33</v>
      </c>
      <c r="F229" s="17">
        <f t="shared" si="11"/>
        <v>0</v>
      </c>
      <c r="G229" s="17">
        <f t="shared" si="13"/>
        <v>0.33333333333333331</v>
      </c>
      <c r="H229" s="17">
        <f t="shared" si="13"/>
        <v>0</v>
      </c>
      <c r="I229" s="17">
        <f t="shared" si="13"/>
        <v>0.33333333333333331</v>
      </c>
      <c r="J229" s="17">
        <f t="shared" si="13"/>
        <v>0</v>
      </c>
      <c r="K229" s="17">
        <f t="shared" si="13"/>
        <v>0.33333333333333331</v>
      </c>
      <c r="L229" s="17">
        <f t="shared" si="13"/>
        <v>0</v>
      </c>
      <c r="M229" s="17">
        <f t="shared" si="13"/>
        <v>0</v>
      </c>
      <c r="N229" s="17">
        <f t="shared" si="13"/>
        <v>0</v>
      </c>
      <c r="O229" s="17">
        <f t="shared" si="13"/>
        <v>0</v>
      </c>
      <c r="P229" s="17">
        <f t="shared" si="13"/>
        <v>0</v>
      </c>
      <c r="Q229" s="17">
        <f t="shared" si="13"/>
        <v>0</v>
      </c>
      <c r="R229" s="18" cm="1">
        <f t="array" ref="R229">SUMPRODUCT(ABS(F229:Q229-F228:Q228))</f>
        <v>0.66666666666666663</v>
      </c>
      <c r="S229" s="18" cm="1">
        <f t="array" ref="S229">SUMPRODUCT(ABS(G229:Q229-G228:Q228))</f>
        <v>0.33333333333333331</v>
      </c>
    </row>
    <row r="230" spans="1:19" x14ac:dyDescent="0.3">
      <c r="A230" s="2" t="s">
        <v>403</v>
      </c>
      <c r="B230" s="2">
        <v>4</v>
      </c>
      <c r="C230" s="2" t="s">
        <v>400</v>
      </c>
      <c r="D230" s="2" t="s">
        <v>59</v>
      </c>
      <c r="F230" s="17">
        <f t="shared" si="11"/>
        <v>0.33333333333333331</v>
      </c>
      <c r="G230" s="17">
        <f t="shared" si="13"/>
        <v>0</v>
      </c>
      <c r="H230" s="17">
        <f t="shared" si="13"/>
        <v>0</v>
      </c>
      <c r="I230" s="17">
        <f t="shared" si="13"/>
        <v>0.33333333333333331</v>
      </c>
      <c r="J230" s="17">
        <f t="shared" si="13"/>
        <v>0</v>
      </c>
      <c r="K230" s="17">
        <f t="shared" si="13"/>
        <v>0.33333333333333331</v>
      </c>
      <c r="L230" s="17">
        <f t="shared" si="13"/>
        <v>0</v>
      </c>
      <c r="M230" s="17">
        <f t="shared" si="13"/>
        <v>0</v>
      </c>
      <c r="N230" s="17">
        <f t="shared" si="13"/>
        <v>0</v>
      </c>
      <c r="O230" s="17">
        <f t="shared" si="13"/>
        <v>0</v>
      </c>
      <c r="P230" s="17">
        <f t="shared" si="13"/>
        <v>0</v>
      </c>
      <c r="Q230" s="17">
        <f t="shared" si="13"/>
        <v>0</v>
      </c>
      <c r="R230" s="18" cm="1">
        <f t="array" ref="R230">SUMPRODUCT(ABS(F230:Q230-F229:Q229))</f>
        <v>0.66666666666666663</v>
      </c>
      <c r="S230" s="18" cm="1">
        <f t="array" ref="S230">SUMPRODUCT(ABS(G230:Q230-G229:Q229))</f>
        <v>0.33333333333333331</v>
      </c>
    </row>
    <row r="231" spans="1:19" x14ac:dyDescent="0.3">
      <c r="A231" s="2" t="s">
        <v>404</v>
      </c>
      <c r="B231" s="2">
        <v>19</v>
      </c>
      <c r="C231" s="2" t="s">
        <v>248</v>
      </c>
      <c r="D231" s="2" t="s">
        <v>405</v>
      </c>
      <c r="F231" s="17">
        <f t="shared" si="11"/>
        <v>0.66666666666666663</v>
      </c>
      <c r="G231" s="17">
        <f t="shared" si="13"/>
        <v>0</v>
      </c>
      <c r="H231" s="17">
        <f t="shared" si="13"/>
        <v>0</v>
      </c>
      <c r="I231" s="17">
        <f t="shared" si="13"/>
        <v>0.33333333333333331</v>
      </c>
      <c r="J231" s="17">
        <f t="shared" si="13"/>
        <v>0</v>
      </c>
      <c r="K231" s="17">
        <f t="shared" si="13"/>
        <v>0</v>
      </c>
      <c r="L231" s="17">
        <f t="shared" si="13"/>
        <v>0</v>
      </c>
      <c r="M231" s="17">
        <f t="shared" si="13"/>
        <v>0</v>
      </c>
      <c r="N231" s="17">
        <f t="shared" si="13"/>
        <v>0</v>
      </c>
      <c r="O231" s="17">
        <f t="shared" si="13"/>
        <v>0</v>
      </c>
      <c r="P231" s="17">
        <f t="shared" si="13"/>
        <v>0</v>
      </c>
      <c r="Q231" s="17">
        <f t="shared" si="13"/>
        <v>0</v>
      </c>
      <c r="R231" s="18" cm="1">
        <f t="array" ref="R231">SUMPRODUCT(ABS(F231:Q231-F230:Q230))</f>
        <v>0.66666666666666663</v>
      </c>
      <c r="S231" s="18" cm="1">
        <f t="array" ref="S231">SUMPRODUCT(ABS(G231:Q231-G230:Q230))</f>
        <v>0.33333333333333331</v>
      </c>
    </row>
    <row r="232" spans="1:19" x14ac:dyDescent="0.3">
      <c r="A232" s="2" t="s">
        <v>406</v>
      </c>
      <c r="B232" s="2">
        <v>2</v>
      </c>
      <c r="C232" s="2" t="s">
        <v>400</v>
      </c>
      <c r="D232" s="2" t="s">
        <v>50</v>
      </c>
      <c r="F232" s="17">
        <f t="shared" si="11"/>
        <v>0.33333333333333331</v>
      </c>
      <c r="G232" s="17">
        <f t="shared" si="13"/>
        <v>0</v>
      </c>
      <c r="H232" s="17">
        <f t="shared" si="13"/>
        <v>0</v>
      </c>
      <c r="I232" s="17">
        <f t="shared" si="13"/>
        <v>0.33333333333333331</v>
      </c>
      <c r="J232" s="17">
        <f t="shared" si="13"/>
        <v>0</v>
      </c>
      <c r="K232" s="17">
        <f t="shared" si="13"/>
        <v>0.33333333333333331</v>
      </c>
      <c r="L232" s="17">
        <f t="shared" si="13"/>
        <v>0</v>
      </c>
      <c r="M232" s="17">
        <f t="shared" si="13"/>
        <v>0</v>
      </c>
      <c r="N232" s="17">
        <f t="shared" si="13"/>
        <v>0</v>
      </c>
      <c r="O232" s="17">
        <f t="shared" si="13"/>
        <v>0</v>
      </c>
      <c r="P232" s="17">
        <f t="shared" si="13"/>
        <v>0</v>
      </c>
      <c r="Q232" s="17">
        <f t="shared" si="13"/>
        <v>0</v>
      </c>
      <c r="R232" s="18" cm="1">
        <f t="array" ref="R232">SUMPRODUCT(ABS(F232:Q232-F231:Q231))</f>
        <v>0.66666666666666663</v>
      </c>
      <c r="S232" s="18" cm="1">
        <f t="array" ref="S232">SUMPRODUCT(ABS(G232:Q232-G231:Q231))</f>
        <v>0.33333333333333331</v>
      </c>
    </row>
    <row r="233" spans="1:19" x14ac:dyDescent="0.3">
      <c r="A233" s="2" t="s">
        <v>407</v>
      </c>
      <c r="B233" s="2">
        <v>1</v>
      </c>
      <c r="C233" s="2" t="s">
        <v>408</v>
      </c>
      <c r="D233" s="2" t="s">
        <v>28</v>
      </c>
      <c r="F233" s="17">
        <f t="shared" si="11"/>
        <v>0</v>
      </c>
      <c r="G233" s="17">
        <f t="shared" si="13"/>
        <v>0</v>
      </c>
      <c r="H233" s="17">
        <f t="shared" si="13"/>
        <v>0</v>
      </c>
      <c r="I233" s="17">
        <f t="shared" si="13"/>
        <v>0.33333333333333331</v>
      </c>
      <c r="J233" s="17">
        <f t="shared" si="13"/>
        <v>0</v>
      </c>
      <c r="K233" s="17">
        <f t="shared" si="13"/>
        <v>0.33333333333333331</v>
      </c>
      <c r="L233" s="17">
        <f t="shared" si="13"/>
        <v>0.33333333333333331</v>
      </c>
      <c r="M233" s="17">
        <f t="shared" si="13"/>
        <v>0</v>
      </c>
      <c r="N233" s="17">
        <f t="shared" si="13"/>
        <v>0</v>
      </c>
      <c r="O233" s="17">
        <f t="shared" si="13"/>
        <v>0</v>
      </c>
      <c r="P233" s="17">
        <f t="shared" si="13"/>
        <v>0</v>
      </c>
      <c r="Q233" s="17">
        <f t="shared" si="13"/>
        <v>0</v>
      </c>
      <c r="R233" s="18" cm="1">
        <f t="array" ref="R233">SUMPRODUCT(ABS(F233:Q233-F232:Q232))</f>
        <v>0.66666666666666663</v>
      </c>
      <c r="S233" s="18" cm="1">
        <f t="array" ref="S233">SUMPRODUCT(ABS(G233:Q233-G232:Q232))</f>
        <v>0.33333333333333331</v>
      </c>
    </row>
    <row r="234" spans="1:19" x14ac:dyDescent="0.3">
      <c r="A234" s="2" t="s">
        <v>409</v>
      </c>
      <c r="B234" s="2">
        <v>24</v>
      </c>
      <c r="C234" s="2" t="s">
        <v>80</v>
      </c>
      <c r="D234" s="2" t="s">
        <v>64</v>
      </c>
      <c r="F234" s="17">
        <f t="shared" si="11"/>
        <v>0.33333333333333331</v>
      </c>
      <c r="G234" s="17">
        <f t="shared" si="13"/>
        <v>0</v>
      </c>
      <c r="H234" s="17">
        <f t="shared" si="13"/>
        <v>0</v>
      </c>
      <c r="I234" s="17">
        <f t="shared" si="13"/>
        <v>0</v>
      </c>
      <c r="J234" s="17">
        <f t="shared" si="13"/>
        <v>0</v>
      </c>
      <c r="K234" s="17">
        <f t="shared" si="13"/>
        <v>0.33333333333333331</v>
      </c>
      <c r="L234" s="17">
        <f t="shared" si="13"/>
        <v>0.33333333333333331</v>
      </c>
      <c r="M234" s="17">
        <f t="shared" si="13"/>
        <v>0</v>
      </c>
      <c r="N234" s="17">
        <f t="shared" si="13"/>
        <v>0</v>
      </c>
      <c r="O234" s="17">
        <f t="shared" si="13"/>
        <v>0</v>
      </c>
      <c r="P234" s="17">
        <f t="shared" si="13"/>
        <v>0</v>
      </c>
      <c r="Q234" s="17">
        <f t="shared" si="13"/>
        <v>0</v>
      </c>
      <c r="R234" s="18" cm="1">
        <f t="array" ref="R234">SUMPRODUCT(ABS(F234:Q234-F233:Q233))</f>
        <v>0.66666666666666663</v>
      </c>
      <c r="S234" s="18" cm="1">
        <f t="array" ref="S234">SUMPRODUCT(ABS(G234:Q234-G233:Q233))</f>
        <v>0.33333333333333331</v>
      </c>
    </row>
    <row r="235" spans="1:19" x14ac:dyDescent="0.3">
      <c r="A235" s="2" t="s">
        <v>410</v>
      </c>
      <c r="B235" s="2">
        <v>1</v>
      </c>
      <c r="C235" s="2" t="s">
        <v>408</v>
      </c>
      <c r="D235" s="2" t="s">
        <v>62</v>
      </c>
      <c r="F235" s="17">
        <f t="shared" si="11"/>
        <v>0</v>
      </c>
      <c r="G235" s="17">
        <f t="shared" si="13"/>
        <v>0</v>
      </c>
      <c r="H235" s="17">
        <f t="shared" si="13"/>
        <v>0</v>
      </c>
      <c r="I235" s="17">
        <f t="shared" si="13"/>
        <v>0.33333333333333331</v>
      </c>
      <c r="J235" s="17">
        <f t="shared" si="13"/>
        <v>0</v>
      </c>
      <c r="K235" s="17">
        <f t="shared" si="13"/>
        <v>0.33333333333333331</v>
      </c>
      <c r="L235" s="17">
        <f t="shared" si="13"/>
        <v>0.33333333333333331</v>
      </c>
      <c r="M235" s="17">
        <f t="shared" si="13"/>
        <v>0</v>
      </c>
      <c r="N235" s="17">
        <f t="shared" si="13"/>
        <v>0</v>
      </c>
      <c r="O235" s="17">
        <f t="shared" si="13"/>
        <v>0</v>
      </c>
      <c r="P235" s="17">
        <f t="shared" si="13"/>
        <v>0</v>
      </c>
      <c r="Q235" s="17">
        <f t="shared" si="13"/>
        <v>0</v>
      </c>
      <c r="R235" s="18" cm="1">
        <f t="array" ref="R235">SUMPRODUCT(ABS(F235:Q235-F234:Q234))</f>
        <v>0.66666666666666663</v>
      </c>
      <c r="S235" s="18" cm="1">
        <f t="array" ref="S235">SUMPRODUCT(ABS(G235:Q235-G234:Q234))</f>
        <v>0.33333333333333331</v>
      </c>
    </row>
    <row r="236" spans="1:19" x14ac:dyDescent="0.3">
      <c r="A236" s="2" t="s">
        <v>411</v>
      </c>
      <c r="B236" s="2">
        <v>18</v>
      </c>
      <c r="C236" s="2" t="s">
        <v>113</v>
      </c>
      <c r="D236" s="2" t="s">
        <v>85</v>
      </c>
      <c r="F236" s="17">
        <f t="shared" si="11"/>
        <v>0.33333333333333331</v>
      </c>
      <c r="G236" s="17">
        <f t="shared" si="13"/>
        <v>0</v>
      </c>
      <c r="H236" s="17">
        <f t="shared" si="13"/>
        <v>0</v>
      </c>
      <c r="I236" s="17">
        <f t="shared" si="13"/>
        <v>0.33333333333333331</v>
      </c>
      <c r="J236" s="17">
        <f t="shared" si="13"/>
        <v>0</v>
      </c>
      <c r="K236" s="17">
        <f t="shared" si="13"/>
        <v>0</v>
      </c>
      <c r="L236" s="17">
        <f t="shared" si="13"/>
        <v>0.33333333333333331</v>
      </c>
      <c r="M236" s="17">
        <f t="shared" si="13"/>
        <v>0</v>
      </c>
      <c r="N236" s="17">
        <f t="shared" si="13"/>
        <v>0</v>
      </c>
      <c r="O236" s="17">
        <f t="shared" si="13"/>
        <v>0</v>
      </c>
      <c r="P236" s="17">
        <f t="shared" si="13"/>
        <v>0</v>
      </c>
      <c r="Q236" s="17">
        <f t="shared" si="13"/>
        <v>0</v>
      </c>
      <c r="R236" s="18" cm="1">
        <f t="array" ref="R236">SUMPRODUCT(ABS(F236:Q236-F235:Q235))</f>
        <v>0.66666666666666663</v>
      </c>
      <c r="S236" s="18" cm="1">
        <f t="array" ref="S236">SUMPRODUCT(ABS(G236:Q236-G235:Q235))</f>
        <v>0.33333333333333331</v>
      </c>
    </row>
    <row r="237" spans="1:19" x14ac:dyDescent="0.3">
      <c r="A237" s="2" t="s">
        <v>412</v>
      </c>
      <c r="B237" s="2">
        <v>22</v>
      </c>
      <c r="C237" s="2" t="s">
        <v>80</v>
      </c>
      <c r="D237" s="2" t="s">
        <v>413</v>
      </c>
      <c r="F237" s="17">
        <f t="shared" si="11"/>
        <v>0.33333333333333331</v>
      </c>
      <c r="G237" s="17">
        <f t="shared" si="13"/>
        <v>0</v>
      </c>
      <c r="H237" s="17">
        <f t="shared" si="13"/>
        <v>0</v>
      </c>
      <c r="I237" s="17">
        <f t="shared" si="13"/>
        <v>0</v>
      </c>
      <c r="J237" s="17">
        <f t="shared" si="13"/>
        <v>0</v>
      </c>
      <c r="K237" s="17">
        <f t="shared" si="13"/>
        <v>0.33333333333333331</v>
      </c>
      <c r="L237" s="17">
        <f t="shared" si="13"/>
        <v>0.33333333333333331</v>
      </c>
      <c r="M237" s="17">
        <f t="shared" si="13"/>
        <v>0</v>
      </c>
      <c r="N237" s="17">
        <f t="shared" si="13"/>
        <v>0</v>
      </c>
      <c r="O237" s="17">
        <f t="shared" si="13"/>
        <v>0</v>
      </c>
      <c r="P237" s="17">
        <f t="shared" si="13"/>
        <v>0</v>
      </c>
      <c r="Q237" s="17">
        <f t="shared" si="13"/>
        <v>0</v>
      </c>
      <c r="R237" s="18" cm="1">
        <f t="array" ref="R237">SUMPRODUCT(ABS(F237:Q237-F236:Q236))</f>
        <v>0.66666666666666663</v>
      </c>
      <c r="S237" s="18" cm="1">
        <f t="array" ref="S237">SUMPRODUCT(ABS(G237:Q237-G236:Q236))</f>
        <v>0.66666666666666663</v>
      </c>
    </row>
    <row r="238" spans="1:19" x14ac:dyDescent="0.3">
      <c r="A238" s="2" t="s">
        <v>414</v>
      </c>
      <c r="B238" s="2">
        <v>7</v>
      </c>
      <c r="C238" s="2" t="s">
        <v>400</v>
      </c>
      <c r="D238" s="2" t="s">
        <v>415</v>
      </c>
      <c r="F238" s="17">
        <f t="shared" si="11"/>
        <v>0.33333333333333331</v>
      </c>
      <c r="G238" s="17">
        <f t="shared" si="13"/>
        <v>0</v>
      </c>
      <c r="H238" s="17">
        <f t="shared" si="13"/>
        <v>0</v>
      </c>
      <c r="I238" s="17">
        <f t="shared" si="13"/>
        <v>0.33333333333333331</v>
      </c>
      <c r="J238" s="17">
        <f t="shared" si="13"/>
        <v>0</v>
      </c>
      <c r="K238" s="17">
        <f t="shared" si="13"/>
        <v>0.33333333333333331</v>
      </c>
      <c r="L238" s="17">
        <f t="shared" si="13"/>
        <v>0</v>
      </c>
      <c r="M238" s="17">
        <f t="shared" si="13"/>
        <v>0</v>
      </c>
      <c r="N238" s="17">
        <f t="shared" si="13"/>
        <v>0</v>
      </c>
      <c r="O238" s="17">
        <f t="shared" si="13"/>
        <v>0</v>
      </c>
      <c r="P238" s="17">
        <f t="shared" si="13"/>
        <v>0</v>
      </c>
      <c r="Q238" s="17">
        <f t="shared" si="13"/>
        <v>0</v>
      </c>
      <c r="R238" s="18" cm="1">
        <f t="array" ref="R238">SUMPRODUCT(ABS(F238:Q238-F237:Q237))</f>
        <v>0.66666666666666663</v>
      </c>
      <c r="S238" s="18" cm="1">
        <f t="array" ref="S238">SUMPRODUCT(ABS(G238:Q238-G237:Q237))</f>
        <v>0.66666666666666663</v>
      </c>
    </row>
    <row r="239" spans="1:19" x14ac:dyDescent="0.3">
      <c r="A239" s="2" t="s">
        <v>416</v>
      </c>
      <c r="B239" s="2">
        <v>1</v>
      </c>
      <c r="C239" s="2" t="s">
        <v>417</v>
      </c>
      <c r="D239" s="2" t="s">
        <v>127</v>
      </c>
      <c r="F239" s="17">
        <f t="shared" si="11"/>
        <v>0</v>
      </c>
      <c r="G239" s="17">
        <f t="shared" si="13"/>
        <v>0</v>
      </c>
      <c r="H239" s="17">
        <f t="shared" si="13"/>
        <v>0</v>
      </c>
      <c r="I239" s="17">
        <f t="shared" si="13"/>
        <v>0.33333333333333331</v>
      </c>
      <c r="J239" s="17">
        <f t="shared" si="13"/>
        <v>0</v>
      </c>
      <c r="K239" s="17">
        <f t="shared" si="13"/>
        <v>0.33333333333333331</v>
      </c>
      <c r="L239" s="17">
        <f t="shared" si="13"/>
        <v>0</v>
      </c>
      <c r="M239" s="17">
        <f t="shared" si="13"/>
        <v>0</v>
      </c>
      <c r="N239" s="17">
        <f t="shared" si="13"/>
        <v>0</v>
      </c>
      <c r="O239" s="17">
        <f t="shared" si="13"/>
        <v>0</v>
      </c>
      <c r="P239" s="17">
        <f t="shared" si="13"/>
        <v>0.33333333333333331</v>
      </c>
      <c r="Q239" s="17">
        <f t="shared" si="13"/>
        <v>0</v>
      </c>
      <c r="R239" s="18" cm="1">
        <f t="array" ref="R239">SUMPRODUCT(ABS(F239:Q239-F238:Q238))</f>
        <v>0.66666666666666663</v>
      </c>
      <c r="S239" s="18" cm="1">
        <f t="array" ref="S239">SUMPRODUCT(ABS(G239:Q239-G238:Q238))</f>
        <v>0.33333333333333331</v>
      </c>
    </row>
    <row r="240" spans="1:19" x14ac:dyDescent="0.3">
      <c r="A240" s="2" t="s">
        <v>418</v>
      </c>
      <c r="B240" s="2">
        <v>4</v>
      </c>
      <c r="C240" s="2" t="s">
        <v>272</v>
      </c>
      <c r="D240" s="2" t="s">
        <v>85</v>
      </c>
      <c r="F240" s="17">
        <f t="shared" si="11"/>
        <v>0.33333333333333331</v>
      </c>
      <c r="G240" s="17">
        <f t="shared" si="13"/>
        <v>0</v>
      </c>
      <c r="H240" s="17">
        <f t="shared" si="13"/>
        <v>0</v>
      </c>
      <c r="I240" s="17">
        <f t="shared" si="13"/>
        <v>0.33333333333333331</v>
      </c>
      <c r="J240" s="17">
        <f t="shared" si="13"/>
        <v>0</v>
      </c>
      <c r="K240" s="17">
        <f t="shared" si="13"/>
        <v>0</v>
      </c>
      <c r="L240" s="17">
        <f t="shared" si="13"/>
        <v>0</v>
      </c>
      <c r="M240" s="17">
        <f t="shared" si="13"/>
        <v>0</v>
      </c>
      <c r="N240" s="17">
        <f t="shared" si="13"/>
        <v>0</v>
      </c>
      <c r="O240" s="17">
        <f t="shared" si="13"/>
        <v>0</v>
      </c>
      <c r="P240" s="17">
        <f t="shared" si="13"/>
        <v>0.33333333333333331</v>
      </c>
      <c r="Q240" s="17">
        <f t="shared" si="13"/>
        <v>0</v>
      </c>
      <c r="R240" s="18" cm="1">
        <f t="array" ref="R240">SUMPRODUCT(ABS(F240:Q240-F239:Q239))</f>
        <v>0.66666666666666663</v>
      </c>
      <c r="S240" s="18" cm="1">
        <f t="array" ref="S240">SUMPRODUCT(ABS(G240:Q240-G239:Q239))</f>
        <v>0.33333333333333331</v>
      </c>
    </row>
    <row r="241" spans="1:19" x14ac:dyDescent="0.3">
      <c r="A241" s="2" t="s">
        <v>419</v>
      </c>
      <c r="B241" s="2">
        <v>18</v>
      </c>
      <c r="C241" s="2" t="s">
        <v>417</v>
      </c>
      <c r="D241" s="2" t="s">
        <v>103</v>
      </c>
      <c r="F241" s="17">
        <f t="shared" si="11"/>
        <v>0</v>
      </c>
      <c r="G241" s="17">
        <f t="shared" si="13"/>
        <v>0</v>
      </c>
      <c r="H241" s="17">
        <f t="shared" si="13"/>
        <v>0</v>
      </c>
      <c r="I241" s="17">
        <f t="shared" si="13"/>
        <v>0.33333333333333331</v>
      </c>
      <c r="J241" s="17">
        <f t="shared" si="13"/>
        <v>0</v>
      </c>
      <c r="K241" s="17">
        <f t="shared" si="13"/>
        <v>0.33333333333333331</v>
      </c>
      <c r="L241" s="17">
        <f t="shared" si="13"/>
        <v>0</v>
      </c>
      <c r="M241" s="17">
        <f t="shared" si="13"/>
        <v>0</v>
      </c>
      <c r="N241" s="17">
        <f t="shared" si="13"/>
        <v>0</v>
      </c>
      <c r="O241" s="17">
        <f t="shared" si="13"/>
        <v>0</v>
      </c>
      <c r="P241" s="17">
        <f t="shared" si="13"/>
        <v>0.33333333333333331</v>
      </c>
      <c r="Q241" s="17">
        <f t="shared" si="13"/>
        <v>0</v>
      </c>
      <c r="R241" s="18" cm="1">
        <f t="array" ref="R241">SUMPRODUCT(ABS(F241:Q241-F240:Q240))</f>
        <v>0.66666666666666663</v>
      </c>
      <c r="S241" s="18" cm="1">
        <f t="array" ref="S241">SUMPRODUCT(ABS(G241:Q241-G240:Q240))</f>
        <v>0.33333333333333331</v>
      </c>
    </row>
    <row r="242" spans="1:19" x14ac:dyDescent="0.3">
      <c r="A242" s="2" t="s">
        <v>420</v>
      </c>
      <c r="B242" s="2">
        <v>8</v>
      </c>
      <c r="C242" s="2" t="s">
        <v>272</v>
      </c>
      <c r="D242" s="2" t="s">
        <v>85</v>
      </c>
      <c r="F242" s="17">
        <f t="shared" si="11"/>
        <v>0.33333333333333331</v>
      </c>
      <c r="G242" s="17">
        <f t="shared" si="13"/>
        <v>0</v>
      </c>
      <c r="H242" s="17">
        <f t="shared" si="13"/>
        <v>0</v>
      </c>
      <c r="I242" s="17">
        <f t="shared" si="13"/>
        <v>0.33333333333333331</v>
      </c>
      <c r="J242" s="17">
        <f t="shared" si="13"/>
        <v>0</v>
      </c>
      <c r="K242" s="17">
        <f t="shared" si="13"/>
        <v>0</v>
      </c>
      <c r="L242" s="17">
        <f t="shared" si="13"/>
        <v>0</v>
      </c>
      <c r="M242" s="17">
        <f t="shared" si="13"/>
        <v>0</v>
      </c>
      <c r="N242" s="17">
        <f t="shared" si="13"/>
        <v>0</v>
      </c>
      <c r="O242" s="17">
        <f t="shared" si="13"/>
        <v>0</v>
      </c>
      <c r="P242" s="17">
        <f t="shared" si="13"/>
        <v>0.33333333333333331</v>
      </c>
      <c r="Q242" s="17">
        <f t="shared" si="13"/>
        <v>0</v>
      </c>
      <c r="R242" s="18" cm="1">
        <f t="array" ref="R242">SUMPRODUCT(ABS(F242:Q242-F241:Q241))</f>
        <v>0.66666666666666663</v>
      </c>
      <c r="S242" s="18" cm="1">
        <f t="array" ref="S242">SUMPRODUCT(ABS(G242:Q242-G241:Q241))</f>
        <v>0.33333333333333331</v>
      </c>
    </row>
    <row r="243" spans="1:19" x14ac:dyDescent="0.3">
      <c r="A243" s="2" t="s">
        <v>421</v>
      </c>
      <c r="B243" s="2">
        <v>7</v>
      </c>
      <c r="C243" s="2" t="s">
        <v>248</v>
      </c>
      <c r="D243" s="2" t="s">
        <v>302</v>
      </c>
      <c r="F243" s="17">
        <f t="shared" si="11"/>
        <v>0.66666666666666663</v>
      </c>
      <c r="G243" s="17">
        <f t="shared" si="13"/>
        <v>0</v>
      </c>
      <c r="H243" s="17">
        <f t="shared" si="13"/>
        <v>0</v>
      </c>
      <c r="I243" s="17">
        <f t="shared" si="13"/>
        <v>0.33333333333333331</v>
      </c>
      <c r="J243" s="17">
        <f t="shared" si="13"/>
        <v>0</v>
      </c>
      <c r="K243" s="17">
        <f t="shared" si="13"/>
        <v>0</v>
      </c>
      <c r="L243" s="17">
        <f t="shared" si="13"/>
        <v>0</v>
      </c>
      <c r="M243" s="17">
        <f t="shared" si="13"/>
        <v>0</v>
      </c>
      <c r="N243" s="17">
        <f t="shared" si="13"/>
        <v>0</v>
      </c>
      <c r="O243" s="17">
        <f t="shared" si="13"/>
        <v>0</v>
      </c>
      <c r="P243" s="17">
        <f t="shared" si="13"/>
        <v>0</v>
      </c>
      <c r="Q243" s="17">
        <f t="shared" si="13"/>
        <v>0</v>
      </c>
      <c r="R243" s="18" cm="1">
        <f t="array" ref="R243">SUMPRODUCT(ABS(F243:Q243-F242:Q242))</f>
        <v>0.66666666666666663</v>
      </c>
      <c r="S243" s="18" cm="1">
        <f t="array" ref="S243">SUMPRODUCT(ABS(G243:Q243-G242:Q242))</f>
        <v>0.33333333333333331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zoomScaleNormal="100" workbookViewId="0"/>
  </sheetViews>
  <sheetFormatPr baseColWidth="10" defaultColWidth="8.6640625" defaultRowHeight="14.4" x14ac:dyDescent="0.3"/>
  <cols>
    <col min="1" max="1" width="42" customWidth="1"/>
    <col min="2" max="3" width="12" customWidth="1"/>
  </cols>
  <sheetData>
    <row r="1" spans="1:3" ht="17.399999999999999" x14ac:dyDescent="0.3">
      <c r="A1" s="3" t="s">
        <v>422</v>
      </c>
    </row>
    <row r="2" spans="1:3" x14ac:dyDescent="0.3">
      <c r="A2" s="4" t="s">
        <v>423</v>
      </c>
    </row>
    <row r="4" spans="1:3" ht="15.6" x14ac:dyDescent="0.3">
      <c r="A4" s="5" t="s">
        <v>424</v>
      </c>
    </row>
    <row r="5" spans="1:3" x14ac:dyDescent="0.3">
      <c r="A5" s="2" t="s">
        <v>425</v>
      </c>
      <c r="B5" s="6">
        <f>COUNT(Bitacora!$B$2:$B$243)</f>
        <v>242</v>
      </c>
    </row>
    <row r="6" spans="1:3" x14ac:dyDescent="0.3">
      <c r="A6" s="2" t="s">
        <v>426</v>
      </c>
      <c r="B6" s="7">
        <f>AVERAGE(Bitacora!$B$2:$B$243)</f>
        <v>11.045454545454545</v>
      </c>
    </row>
    <row r="7" spans="1:3" x14ac:dyDescent="0.3">
      <c r="A7" s="2" t="s">
        <v>427</v>
      </c>
      <c r="B7" s="7">
        <f>MEDIAN(Bitacora!$B$2:$B$243)</f>
        <v>7</v>
      </c>
    </row>
    <row r="8" spans="1:3" x14ac:dyDescent="0.3">
      <c r="A8" s="2" t="s">
        <v>428</v>
      </c>
      <c r="B8" s="6">
        <f>MIN(Bitacora!$B$2:$B$243)</f>
        <v>1</v>
      </c>
    </row>
    <row r="9" spans="1:3" x14ac:dyDescent="0.3">
      <c r="A9" s="2" t="s">
        <v>429</v>
      </c>
      <c r="B9" s="6">
        <f>MAX(Bitacora!$B$2:$B$243)</f>
        <v>56</v>
      </c>
    </row>
    <row r="10" spans="1:3" x14ac:dyDescent="0.3">
      <c r="A10" s="2" t="s">
        <v>430</v>
      </c>
      <c r="B10" s="8">
        <f>COUNTIF(Bitacora!$B$2:$B$243,"&lt;5")</f>
        <v>88</v>
      </c>
      <c r="C10" s="9">
        <f>B10/B5</f>
        <v>0.36363636363636365</v>
      </c>
    </row>
    <row r="12" spans="1:3" ht="15.6" x14ac:dyDescent="0.3">
      <c r="A12" s="5" t="s">
        <v>431</v>
      </c>
    </row>
    <row r="13" spans="1:3" x14ac:dyDescent="0.3">
      <c r="A13" s="1" t="s">
        <v>432</v>
      </c>
      <c r="B13" s="1" t="s">
        <v>433</v>
      </c>
      <c r="C13" s="1" t="s">
        <v>434</v>
      </c>
    </row>
    <row r="14" spans="1:3" x14ac:dyDescent="0.3">
      <c r="A14" s="10" t="s">
        <v>435</v>
      </c>
      <c r="B14" s="11">
        <f>COUNTIF(Bitacora!$B$2:$B$243,1)</f>
        <v>27</v>
      </c>
      <c r="C14" s="12">
        <f t="shared" ref="C14:C19" si="0">B14/$B$5</f>
        <v>0.1115702479338843</v>
      </c>
    </row>
    <row r="15" spans="1:3" x14ac:dyDescent="0.3">
      <c r="A15" s="10" t="s">
        <v>436</v>
      </c>
      <c r="B15" s="11">
        <f>COUNTIFS(Bitacora!$B$2:$B$243,"&gt;=2",Bitacora!$B$2:$B$243,"&lt;=4")</f>
        <v>61</v>
      </c>
      <c r="C15" s="12">
        <f t="shared" si="0"/>
        <v>0.25206611570247933</v>
      </c>
    </row>
    <row r="16" spans="1:3" x14ac:dyDescent="0.3">
      <c r="A16" s="10" t="s">
        <v>437</v>
      </c>
      <c r="B16" s="11">
        <f>COUNTIFS(Bitacora!$B$2:$B$243,"&gt;=5",Bitacora!$B$2:$B$243,"&lt;=9")</f>
        <v>57</v>
      </c>
      <c r="C16" s="12">
        <f t="shared" si="0"/>
        <v>0.23553719008264462</v>
      </c>
    </row>
    <row r="17" spans="1:3" x14ac:dyDescent="0.3">
      <c r="A17" s="10" t="s">
        <v>438</v>
      </c>
      <c r="B17" s="11">
        <f>COUNTIFS(Bitacora!$B$2:$B$243,"&gt;=10",Bitacora!$B$2:$B$243,"&lt;=19")</f>
        <v>53</v>
      </c>
      <c r="C17" s="12">
        <f t="shared" si="0"/>
        <v>0.21900826446280991</v>
      </c>
    </row>
    <row r="18" spans="1:3" x14ac:dyDescent="0.3">
      <c r="A18" s="10" t="s">
        <v>439</v>
      </c>
      <c r="B18" s="11">
        <f>COUNTIF(Bitacora!$B$2:$B$243,"&gt;=20")</f>
        <v>44</v>
      </c>
      <c r="C18" s="12">
        <f t="shared" si="0"/>
        <v>0.18181818181818182</v>
      </c>
    </row>
    <row r="19" spans="1:3" x14ac:dyDescent="0.3">
      <c r="A19" s="13" t="s">
        <v>440</v>
      </c>
      <c r="B19" s="8">
        <f>SUM(B14:B18)</f>
        <v>242</v>
      </c>
      <c r="C19" s="9">
        <f t="shared" si="0"/>
        <v>1</v>
      </c>
    </row>
    <row r="22" spans="1:3" ht="15.6" x14ac:dyDescent="0.3">
      <c r="A22" s="5" t="s">
        <v>441</v>
      </c>
    </row>
    <row r="23" spans="1:3" x14ac:dyDescent="0.3">
      <c r="A23" s="1" t="s">
        <v>442</v>
      </c>
      <c r="B23" s="1" t="s">
        <v>433</v>
      </c>
    </row>
    <row r="24" spans="1:3" x14ac:dyDescent="0.3">
      <c r="A24" s="10" t="s">
        <v>443</v>
      </c>
      <c r="B24" s="11">
        <v>123</v>
      </c>
    </row>
    <row r="25" spans="1:3" x14ac:dyDescent="0.3">
      <c r="A25" s="10" t="s">
        <v>444</v>
      </c>
      <c r="B25" s="11">
        <v>62</v>
      </c>
    </row>
    <row r="26" spans="1:3" x14ac:dyDescent="0.3">
      <c r="A26" s="10" t="s">
        <v>445</v>
      </c>
      <c r="B26" s="11">
        <v>61</v>
      </c>
    </row>
    <row r="27" spans="1:3" x14ac:dyDescent="0.3">
      <c r="A27" s="10" t="s">
        <v>446</v>
      </c>
      <c r="B27" s="11">
        <v>12</v>
      </c>
    </row>
    <row r="29" spans="1:3" x14ac:dyDescent="0.3">
      <c r="A29" s="14" t="s">
        <v>447</v>
      </c>
    </row>
    <row r="31" spans="1:3" ht="15.6" x14ac:dyDescent="0.3">
      <c r="A31" s="19" t="s">
        <v>462</v>
      </c>
    </row>
    <row r="32" spans="1:3" x14ac:dyDescent="0.3">
      <c r="A32" s="16" t="s">
        <v>463</v>
      </c>
      <c r="B32" s="20">
        <v>2E-3</v>
      </c>
    </row>
    <row r="33" spans="1:3" x14ac:dyDescent="0.3">
      <c r="A33" s="16" t="s">
        <v>475</v>
      </c>
      <c r="B33" s="21">
        <f>DATE(LEFT(Bitacora!$A$2,4),MID(Bitacora!$A$2,6,2),RIGHT(Bitacora!$A$2,2))</f>
        <v>42402</v>
      </c>
    </row>
    <row r="34" spans="1:3" x14ac:dyDescent="0.3">
      <c r="A34" s="16" t="s">
        <v>464</v>
      </c>
      <c r="B34" s="21">
        <f>WORKDAY(DATE(LEFT(Bitacora!$A$243,4),MID(Bitacora!$A$243,6,2),RIGHT(Bitacora!$A$243,2)),Bitacora!$B$243)</f>
        <v>46286</v>
      </c>
    </row>
    <row r="35" spans="1:3" x14ac:dyDescent="0.3">
      <c r="A35" s="16" t="s">
        <v>465</v>
      </c>
      <c r="B35" s="22">
        <f>(B34-B33)/365.25</f>
        <v>10.633812457221081</v>
      </c>
    </row>
    <row r="37" spans="1:3" x14ac:dyDescent="0.3">
      <c r="A37" s="23" t="s">
        <v>466</v>
      </c>
      <c r="B37" s="23" t="s">
        <v>467</v>
      </c>
      <c r="C37" s="23" t="s">
        <v>468</v>
      </c>
    </row>
    <row r="38" spans="1:3" x14ac:dyDescent="0.3">
      <c r="A38" s="24" t="s">
        <v>469</v>
      </c>
      <c r="B38" s="25">
        <f>SUM(Bitacora!$R$2:$R$243)</f>
        <v>174.99999999999966</v>
      </c>
      <c r="C38" s="25">
        <f>SUM(Bitacora!$S$2:$S$243)</f>
        <v>90.999999999999829</v>
      </c>
    </row>
    <row r="39" spans="1:3" x14ac:dyDescent="0.3">
      <c r="A39" s="24" t="s">
        <v>470</v>
      </c>
      <c r="B39" s="25">
        <f>B38/$B$35</f>
        <v>16.456938722965983</v>
      </c>
      <c r="C39" s="25">
        <f>C38/$B$35</f>
        <v>8.5576081359423117</v>
      </c>
    </row>
    <row r="40" spans="1:3" x14ac:dyDescent="0.3">
      <c r="A40" s="24" t="s">
        <v>471</v>
      </c>
      <c r="B40" s="26">
        <f>B38*$B$32</f>
        <v>0.34999999999999931</v>
      </c>
      <c r="C40" s="26">
        <f>C38*$B$32</f>
        <v>0.18199999999999966</v>
      </c>
    </row>
    <row r="41" spans="1:3" x14ac:dyDescent="0.3">
      <c r="A41" s="24" t="s">
        <v>472</v>
      </c>
      <c r="B41" s="26">
        <f>1-(1-$B$32)^B38</f>
        <v>0.29555883718876286</v>
      </c>
      <c r="C41" s="26">
        <f>1-(1-$B$32)^C38</f>
        <v>0.16655056377723532</v>
      </c>
    </row>
    <row r="42" spans="1:3" x14ac:dyDescent="0.3">
      <c r="A42" s="27" t="s">
        <v>473</v>
      </c>
      <c r="B42" s="28">
        <f>1-(1-B41)^(1/$B$35)</f>
        <v>3.2410000121626203E-2</v>
      </c>
      <c r="C42" s="28">
        <f>1-(1-C41)^(1/$B$35)</f>
        <v>1.6986430090465077E-2</v>
      </c>
    </row>
    <row r="44" spans="1:3" x14ac:dyDescent="0.3">
      <c r="A44" s="29" t="s">
        <v>474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Bitacora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2026-09-20T21:46:27Z</dcterms:created>
  <dcterms:modified xsi:type="dcterms:W3CDTF">2026-10-04T20:11:12Z</dcterms:modified>
  <dc:language>en-US</dc:language>
</cp:coreProperties>
</file>