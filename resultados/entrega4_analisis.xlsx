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UCEMA\Cursado\14 - Finanzas Computacionales\ucema-md\"/>
    </mc:Choice>
  </mc:AlternateContent>
  <xr:revisionPtr revIDLastSave="0" documentId="13_ncr:1_{E9B9362C-FC13-445C-9F98-C8604C8279B9}" xr6:coauthVersionLast="47" xr6:coauthVersionMax="47" xr10:uidLastSave="{00000000-0000-0000-0000-000000000000}"/>
  <bookViews>
    <workbookView xWindow="-28920" yWindow="3645" windowWidth="29040" windowHeight="15720" activeTab="2" xr2:uid="{00000000-000D-0000-FFFF-FFFF00000000}"/>
  </bookViews>
  <sheets>
    <sheet name="Comparador exposicion" sheetId="1" r:id="rId1"/>
    <sheet name="Motivos resumen" sheetId="2" r:id="rId2"/>
    <sheet name="Motivos detalle" sheetId="3" r:id="rId3"/>
    <sheet name="Parametros" sheetId="4" r:id="rId4"/>
    <sheet name="Trades" sheetId="5" r:id="rId5"/>
    <sheet name="Estadisticas" sheetId="6" r:id="rId6"/>
    <sheet name="Whipsaws" sheetId="7" r:id="rId7"/>
    <sheet name="Filtro momentum" sheetId="8" r:id="rId8"/>
    <sheet name="Sensibilidad Donchian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6" l="1"/>
  <c r="B49" i="6"/>
  <c r="B50" i="6"/>
  <c r="B51" i="6" s="1"/>
  <c r="B52" i="6" s="1"/>
  <c r="B53" i="6" s="1"/>
  <c r="B54" i="6"/>
  <c r="B45" i="6"/>
  <c r="E44" i="6"/>
  <c r="D44" i="6"/>
  <c r="G44" i="6" s="1"/>
  <c r="B44" i="6"/>
  <c r="I44" i="6" s="1"/>
  <c r="E43" i="6"/>
  <c r="D43" i="6"/>
  <c r="B43" i="6"/>
  <c r="I43" i="6" s="1"/>
  <c r="B42" i="6"/>
  <c r="C42" i="6" s="1"/>
  <c r="D42" i="6"/>
  <c r="F42" i="6" s="1"/>
  <c r="H42" i="6" s="1"/>
  <c r="E42" i="6"/>
  <c r="B41" i="6"/>
  <c r="C41" i="6" s="1"/>
  <c r="D41" i="6"/>
  <c r="F41" i="6" s="1"/>
  <c r="H41" i="6" s="1"/>
  <c r="E41" i="6"/>
  <c r="A42" i="6"/>
  <c r="A43" i="6"/>
  <c r="A44" i="6"/>
  <c r="AE140" i="5"/>
  <c r="AF140" i="5" s="1"/>
  <c r="AE139" i="5"/>
  <c r="AF139" i="5" s="1"/>
  <c r="AF138" i="5"/>
  <c r="AE138" i="5"/>
  <c r="AE137" i="5"/>
  <c r="AF137" i="5" s="1"/>
  <c r="AF136" i="5"/>
  <c r="AE136" i="5"/>
  <c r="AE135" i="5"/>
  <c r="AF135" i="5" s="1"/>
  <c r="AF134" i="5"/>
  <c r="AE134" i="5"/>
  <c r="AE133" i="5"/>
  <c r="AF133" i="5" s="1"/>
  <c r="AE132" i="5"/>
  <c r="AF132" i="5" s="1"/>
  <c r="AE131" i="5"/>
  <c r="AF131" i="5" s="1"/>
  <c r="AF130" i="5"/>
  <c r="AE130" i="5"/>
  <c r="AE129" i="5"/>
  <c r="AF129" i="5" s="1"/>
  <c r="AF128" i="5"/>
  <c r="AE128" i="5"/>
  <c r="AE127" i="5"/>
  <c r="AF127" i="5" s="1"/>
  <c r="AF126" i="5"/>
  <c r="AE126" i="5"/>
  <c r="AE125" i="5"/>
  <c r="AF125" i="5" s="1"/>
  <c r="AE124" i="5"/>
  <c r="AF124" i="5" s="1"/>
  <c r="AE123" i="5"/>
  <c r="AF123" i="5" s="1"/>
  <c r="AF122" i="5"/>
  <c r="AE122" i="5"/>
  <c r="AE121" i="5"/>
  <c r="AF121" i="5" s="1"/>
  <c r="AE120" i="5"/>
  <c r="AF120" i="5" s="1"/>
  <c r="AE119" i="5"/>
  <c r="AF119" i="5" s="1"/>
  <c r="AF118" i="5"/>
  <c r="AE118" i="5"/>
  <c r="AE117" i="5"/>
  <c r="AF117" i="5" s="1"/>
  <c r="AE116" i="5"/>
  <c r="AF116" i="5" s="1"/>
  <c r="AE115" i="5"/>
  <c r="AF115" i="5" s="1"/>
  <c r="AF114" i="5"/>
  <c r="AE114" i="5"/>
  <c r="AE113" i="5"/>
  <c r="AF113" i="5" s="1"/>
  <c r="AE112" i="5"/>
  <c r="AF112" i="5" s="1"/>
  <c r="AE111" i="5"/>
  <c r="AF111" i="5" s="1"/>
  <c r="AF110" i="5"/>
  <c r="AE110" i="5"/>
  <c r="AE109" i="5"/>
  <c r="AF109" i="5" s="1"/>
  <c r="AE108" i="5"/>
  <c r="AF108" i="5" s="1"/>
  <c r="AE107" i="5"/>
  <c r="AF107" i="5" s="1"/>
  <c r="AF106" i="5"/>
  <c r="AE106" i="5"/>
  <c r="AE105" i="5"/>
  <c r="AF105" i="5" s="1"/>
  <c r="AE104" i="5"/>
  <c r="AF104" i="5" s="1"/>
  <c r="AE103" i="5"/>
  <c r="AF103" i="5" s="1"/>
  <c r="AF102" i="5"/>
  <c r="AE102" i="5"/>
  <c r="AE101" i="5"/>
  <c r="AF101" i="5" s="1"/>
  <c r="AE100" i="5"/>
  <c r="AF100" i="5" s="1"/>
  <c r="AE99" i="5"/>
  <c r="AF99" i="5" s="1"/>
  <c r="AF98" i="5"/>
  <c r="AE98" i="5"/>
  <c r="AE97" i="5"/>
  <c r="AF97" i="5" s="1"/>
  <c r="AE96" i="5"/>
  <c r="AF96" i="5" s="1"/>
  <c r="AE95" i="5"/>
  <c r="AF95" i="5" s="1"/>
  <c r="AF94" i="5"/>
  <c r="AE94" i="5"/>
  <c r="AE93" i="5"/>
  <c r="AF93" i="5" s="1"/>
  <c r="AE92" i="5"/>
  <c r="AF92" i="5" s="1"/>
  <c r="AE91" i="5"/>
  <c r="AF91" i="5" s="1"/>
  <c r="AF90" i="5"/>
  <c r="AE90" i="5"/>
  <c r="AE89" i="5"/>
  <c r="AF89" i="5" s="1"/>
  <c r="AE88" i="5"/>
  <c r="AF88" i="5" s="1"/>
  <c r="AE87" i="5"/>
  <c r="AF87" i="5" s="1"/>
  <c r="AF86" i="5"/>
  <c r="AE86" i="5"/>
  <c r="AE85" i="5"/>
  <c r="AF85" i="5" s="1"/>
  <c r="AE84" i="5"/>
  <c r="AF84" i="5" s="1"/>
  <c r="AE83" i="5"/>
  <c r="AF83" i="5" s="1"/>
  <c r="AF82" i="5"/>
  <c r="AE82" i="5"/>
  <c r="AE81" i="5"/>
  <c r="AF81" i="5" s="1"/>
  <c r="AE80" i="5"/>
  <c r="AF80" i="5" s="1"/>
  <c r="AE79" i="5"/>
  <c r="AF79" i="5" s="1"/>
  <c r="AF78" i="5"/>
  <c r="AE78" i="5"/>
  <c r="AE77" i="5"/>
  <c r="AF77" i="5" s="1"/>
  <c r="AE76" i="5"/>
  <c r="AF76" i="5" s="1"/>
  <c r="AE75" i="5"/>
  <c r="AF75" i="5" s="1"/>
  <c r="AF74" i="5"/>
  <c r="AE74" i="5"/>
  <c r="AE73" i="5"/>
  <c r="AF73" i="5" s="1"/>
  <c r="AE72" i="5"/>
  <c r="AF72" i="5" s="1"/>
  <c r="AE71" i="5"/>
  <c r="AF71" i="5" s="1"/>
  <c r="AF70" i="5"/>
  <c r="AE70" i="5"/>
  <c r="AE69" i="5"/>
  <c r="AF69" i="5" s="1"/>
  <c r="AE68" i="5"/>
  <c r="AF68" i="5" s="1"/>
  <c r="AE67" i="5"/>
  <c r="AF67" i="5" s="1"/>
  <c r="AF66" i="5"/>
  <c r="AE66" i="5"/>
  <c r="AE65" i="5"/>
  <c r="AF65" i="5" s="1"/>
  <c r="AE64" i="5"/>
  <c r="AF64" i="5" s="1"/>
  <c r="AE63" i="5"/>
  <c r="AF63" i="5" s="1"/>
  <c r="AF62" i="5"/>
  <c r="AE62" i="5"/>
  <c r="AE61" i="5"/>
  <c r="AF61" i="5" s="1"/>
  <c r="AE60" i="5"/>
  <c r="AF60" i="5" s="1"/>
  <c r="AE59" i="5"/>
  <c r="AF59" i="5" s="1"/>
  <c r="AF58" i="5"/>
  <c r="AE58" i="5"/>
  <c r="AE57" i="5"/>
  <c r="AF57" i="5" s="1"/>
  <c r="AE56" i="5"/>
  <c r="AF56" i="5" s="1"/>
  <c r="AE55" i="5"/>
  <c r="AF55" i="5" s="1"/>
  <c r="AF54" i="5"/>
  <c r="AE54" i="5"/>
  <c r="AE53" i="5"/>
  <c r="AF53" i="5" s="1"/>
  <c r="AE52" i="5"/>
  <c r="AF52" i="5" s="1"/>
  <c r="AE51" i="5"/>
  <c r="AF51" i="5" s="1"/>
  <c r="AF50" i="5"/>
  <c r="AE50" i="5"/>
  <c r="AE49" i="5"/>
  <c r="AF49" i="5" s="1"/>
  <c r="AE48" i="5"/>
  <c r="AF48" i="5" s="1"/>
  <c r="AE47" i="5"/>
  <c r="AF47" i="5" s="1"/>
  <c r="AF46" i="5"/>
  <c r="AE46" i="5"/>
  <c r="AE45" i="5"/>
  <c r="AF45" i="5" s="1"/>
  <c r="AE44" i="5"/>
  <c r="AF44" i="5" s="1"/>
  <c r="AE43" i="5"/>
  <c r="AF43" i="5" s="1"/>
  <c r="AF42" i="5"/>
  <c r="AE42" i="5"/>
  <c r="AE41" i="5"/>
  <c r="AF41" i="5" s="1"/>
  <c r="AE40" i="5"/>
  <c r="AF40" i="5" s="1"/>
  <c r="AE39" i="5"/>
  <c r="AF39" i="5" s="1"/>
  <c r="AF38" i="5"/>
  <c r="AE38" i="5"/>
  <c r="AE37" i="5"/>
  <c r="AF37" i="5" s="1"/>
  <c r="AE36" i="5"/>
  <c r="AF36" i="5" s="1"/>
  <c r="AE35" i="5"/>
  <c r="AF35" i="5" s="1"/>
  <c r="AF34" i="5"/>
  <c r="AE34" i="5"/>
  <c r="AE33" i="5"/>
  <c r="AF33" i="5" s="1"/>
  <c r="AE32" i="5"/>
  <c r="AF32" i="5" s="1"/>
  <c r="AE31" i="5"/>
  <c r="AF31" i="5" s="1"/>
  <c r="AF30" i="5"/>
  <c r="AE30" i="5"/>
  <c r="AE29" i="5"/>
  <c r="AF29" i="5" s="1"/>
  <c r="AE28" i="5"/>
  <c r="AF28" i="5" s="1"/>
  <c r="AE27" i="5"/>
  <c r="AF27" i="5" s="1"/>
  <c r="AF26" i="5"/>
  <c r="AE26" i="5"/>
  <c r="AE25" i="5"/>
  <c r="AF25" i="5" s="1"/>
  <c r="AE24" i="5"/>
  <c r="AF24" i="5" s="1"/>
  <c r="AE23" i="5"/>
  <c r="AF23" i="5" s="1"/>
  <c r="AF22" i="5"/>
  <c r="AE22" i="5"/>
  <c r="AE21" i="5"/>
  <c r="AF21" i="5" s="1"/>
  <c r="AE20" i="5"/>
  <c r="AF20" i="5" s="1"/>
  <c r="AE19" i="5"/>
  <c r="AF19" i="5" s="1"/>
  <c r="AF18" i="5"/>
  <c r="AE18" i="5"/>
  <c r="AE17" i="5"/>
  <c r="AF17" i="5" s="1"/>
  <c r="AE16" i="5"/>
  <c r="AF16" i="5" s="1"/>
  <c r="AE15" i="5"/>
  <c r="AF15" i="5" s="1"/>
  <c r="AF14" i="5"/>
  <c r="AE14" i="5"/>
  <c r="AE13" i="5"/>
  <c r="AF13" i="5" s="1"/>
  <c r="AE12" i="5"/>
  <c r="AF12" i="5" s="1"/>
  <c r="AE11" i="5"/>
  <c r="AF11" i="5" s="1"/>
  <c r="AF10" i="5"/>
  <c r="AE10" i="5"/>
  <c r="AE9" i="5"/>
  <c r="AF9" i="5" s="1"/>
  <c r="AE8" i="5"/>
  <c r="AF8" i="5" s="1"/>
  <c r="AE7" i="5"/>
  <c r="AF7" i="5" s="1"/>
  <c r="AF6" i="5"/>
  <c r="AE6" i="5"/>
  <c r="AE5" i="5"/>
  <c r="AF5" i="5" s="1"/>
  <c r="AF4" i="5"/>
  <c r="AE4" i="5"/>
  <c r="B28" i="9"/>
  <c r="C28" i="9" s="1"/>
  <c r="D28" i="9"/>
  <c r="E28" i="9"/>
  <c r="F28" i="9"/>
  <c r="G28" i="9"/>
  <c r="B27" i="9"/>
  <c r="C27" i="9" s="1"/>
  <c r="D27" i="9"/>
  <c r="E27" i="9"/>
  <c r="F27" i="9"/>
  <c r="G27" i="9"/>
  <c r="B26" i="9"/>
  <c r="C26" i="9" s="1"/>
  <c r="D26" i="9"/>
  <c r="E26" i="9"/>
  <c r="F26" i="9"/>
  <c r="G26" i="9"/>
  <c r="B25" i="9"/>
  <c r="C25" i="9" s="1"/>
  <c r="D25" i="9"/>
  <c r="E25" i="9"/>
  <c r="F25" i="9"/>
  <c r="G25" i="9"/>
  <c r="B24" i="9"/>
  <c r="C24" i="9" s="1"/>
  <c r="D24" i="9"/>
  <c r="E24" i="9"/>
  <c r="F24" i="9"/>
  <c r="G24" i="9"/>
  <c r="A26" i="9"/>
  <c r="C19" i="9"/>
  <c r="D19" i="9"/>
  <c r="E19" i="9"/>
  <c r="F19" i="9"/>
  <c r="G19" i="9"/>
  <c r="H19" i="9"/>
  <c r="C18" i="9"/>
  <c r="D18" i="9" s="1"/>
  <c r="E18" i="9"/>
  <c r="F18" i="9"/>
  <c r="G18" i="9"/>
  <c r="H18" i="9"/>
  <c r="C17" i="9"/>
  <c r="D17" i="9" s="1"/>
  <c r="E17" i="9"/>
  <c r="F17" i="9"/>
  <c r="G17" i="9"/>
  <c r="H17" i="9"/>
  <c r="C16" i="9"/>
  <c r="D16" i="9" s="1"/>
  <c r="E16" i="9"/>
  <c r="F16" i="9"/>
  <c r="G16" i="9"/>
  <c r="H16" i="9"/>
  <c r="C15" i="9"/>
  <c r="D15" i="9" s="1"/>
  <c r="E15" i="9"/>
  <c r="F15" i="9"/>
  <c r="G15" i="9"/>
  <c r="H15" i="9"/>
  <c r="C14" i="9"/>
  <c r="D14" i="9" s="1"/>
  <c r="E14" i="9"/>
  <c r="F14" i="9"/>
  <c r="G14" i="9"/>
  <c r="H14" i="9"/>
  <c r="C13" i="9"/>
  <c r="D13" i="9" s="1"/>
  <c r="E13" i="9"/>
  <c r="F13" i="9"/>
  <c r="G13" i="9"/>
  <c r="H13" i="9"/>
  <c r="B5" i="9"/>
  <c r="B6" i="9"/>
  <c r="B7" i="9"/>
  <c r="B8" i="9" s="1"/>
  <c r="B9" i="9" a="1"/>
  <c r="B9" i="9" s="1"/>
  <c r="A21" i="8" a="1"/>
  <c r="A21" i="8" s="1"/>
  <c r="I21" i="8" a="1"/>
  <c r="I21" i="8" s="1"/>
  <c r="A22" i="8" a="1"/>
  <c r="A22" i="8" s="1"/>
  <c r="F22" i="8" a="1"/>
  <c r="F22" i="8" s="1"/>
  <c r="I22" i="8" a="1"/>
  <c r="I22" i="8" s="1"/>
  <c r="A23" i="8" a="1"/>
  <c r="A23" i="8" s="1"/>
  <c r="C23" i="8" a="1"/>
  <c r="C23" i="8" s="1"/>
  <c r="F23" i="8" a="1"/>
  <c r="F23" i="8" s="1"/>
  <c r="I23" i="8" a="1"/>
  <c r="I23" i="8" s="1"/>
  <c r="K23" i="8" a="1"/>
  <c r="K23" i="8" s="1"/>
  <c r="A24" i="8" a="1"/>
  <c r="A24" i="8" s="1"/>
  <c r="C24" i="8" a="1"/>
  <c r="C24" i="8" s="1"/>
  <c r="A25" i="8" a="1"/>
  <c r="A25" i="8" s="1"/>
  <c r="C25" i="8" a="1"/>
  <c r="C25" i="8" s="1"/>
  <c r="E25" i="8" a="1"/>
  <c r="E25" i="8" s="1"/>
  <c r="H25" i="8" a="1"/>
  <c r="H25" i="8" s="1"/>
  <c r="I25" i="8" a="1"/>
  <c r="I25" i="8" s="1"/>
  <c r="K25" i="8" a="1"/>
  <c r="K25" i="8" s="1"/>
  <c r="A26" i="8" a="1"/>
  <c r="A26" i="8"/>
  <c r="B26" i="8" a="1"/>
  <c r="B26" i="8" s="1"/>
  <c r="E26" i="8" a="1"/>
  <c r="E26" i="8" s="1"/>
  <c r="F26" i="8" a="1"/>
  <c r="F26" i="8" s="1"/>
  <c r="A27" i="8" a="1"/>
  <c r="A27" i="8" s="1"/>
  <c r="D27" i="8" s="1" a="1"/>
  <c r="D27" i="8" s="1"/>
  <c r="B27" i="8" a="1"/>
  <c r="B27" i="8" s="1"/>
  <c r="C27" i="8" a="1"/>
  <c r="C27" i="8" s="1"/>
  <c r="E27" i="8" a="1"/>
  <c r="E27" i="8" s="1"/>
  <c r="F27" i="8" a="1"/>
  <c r="F27" i="8"/>
  <c r="G27" i="8" a="1"/>
  <c r="G27" i="8" s="1"/>
  <c r="H27" i="8" a="1"/>
  <c r="H27" i="8" s="1"/>
  <c r="I27" i="8" a="1"/>
  <c r="I27" i="8" s="1"/>
  <c r="J27" i="8" a="1"/>
  <c r="J27" i="8" s="1"/>
  <c r="K27" i="8" a="1"/>
  <c r="K27" i="8" s="1"/>
  <c r="A28" i="8" a="1"/>
  <c r="A28" i="8" s="1"/>
  <c r="B28" i="8" a="1"/>
  <c r="B28" i="8" s="1"/>
  <c r="C28" i="8" a="1"/>
  <c r="C28" i="8" s="1"/>
  <c r="D28" i="8" a="1"/>
  <c r="D28" i="8" s="1"/>
  <c r="E28" i="8" a="1"/>
  <c r="E28" i="8" s="1"/>
  <c r="F28" i="8" a="1"/>
  <c r="F28" i="8" s="1"/>
  <c r="G28" i="8" a="1"/>
  <c r="G28" i="8" s="1"/>
  <c r="H28" i="8" a="1"/>
  <c r="H28" i="8" s="1"/>
  <c r="I28" i="8" a="1"/>
  <c r="I28" i="8" s="1"/>
  <c r="J28" i="8" a="1"/>
  <c r="J28" i="8" s="1"/>
  <c r="K28" i="8" a="1"/>
  <c r="K28" i="8" s="1"/>
  <c r="A29" i="8" a="1"/>
  <c r="A29" i="8" s="1"/>
  <c r="D29" i="8" s="1" a="1"/>
  <c r="D29" i="8" s="1"/>
  <c r="A30" i="8" a="1"/>
  <c r="A30" i="8" s="1"/>
  <c r="G30" i="8" s="1" a="1"/>
  <c r="G30" i="8" s="1"/>
  <c r="E30" i="8" a="1"/>
  <c r="E30" i="8" s="1"/>
  <c r="A31" i="8" a="1"/>
  <c r="A31" i="8" s="1"/>
  <c r="K31" i="8" s="1" a="1"/>
  <c r="K31" i="8" s="1"/>
  <c r="D31" i="8" a="1"/>
  <c r="D31" i="8" s="1"/>
  <c r="H31" i="8" a="1"/>
  <c r="H31" i="8" s="1"/>
  <c r="A32" i="8" a="1"/>
  <c r="A32" i="8" s="1"/>
  <c r="B32" i="8" s="1" a="1"/>
  <c r="B32" i="8" s="1"/>
  <c r="D32" i="8" a="1"/>
  <c r="D32" i="8" s="1"/>
  <c r="K32" i="8" a="1"/>
  <c r="K32" i="8" s="1"/>
  <c r="A33" i="8" a="1"/>
  <c r="A33" i="8" s="1"/>
  <c r="C33" i="8" s="1" a="1"/>
  <c r="C33" i="8" s="1"/>
  <c r="G33" i="8" a="1"/>
  <c r="G33" i="8" s="1"/>
  <c r="K33" i="8" a="1"/>
  <c r="K33" i="8" s="1"/>
  <c r="A34" i="8" a="1"/>
  <c r="A34" i="8" s="1"/>
  <c r="A35" i="8" a="1"/>
  <c r="A35" i="8" s="1"/>
  <c r="I35" i="8" s="1" a="1"/>
  <c r="I35" i="8" s="1"/>
  <c r="A36" i="8" a="1"/>
  <c r="A36" i="8" s="1"/>
  <c r="B36" i="8" s="1" a="1"/>
  <c r="B36" i="8" s="1"/>
  <c r="C36" i="8" a="1"/>
  <c r="C36" i="8" s="1"/>
  <c r="D36" i="8" a="1"/>
  <c r="D36" i="8" s="1"/>
  <c r="F36" i="8" a="1"/>
  <c r="F36" i="8" s="1"/>
  <c r="G36" i="8" a="1"/>
  <c r="G36" i="8" s="1"/>
  <c r="J36" i="8" a="1"/>
  <c r="J36" i="8" s="1"/>
  <c r="A37" i="8" a="1"/>
  <c r="A37" i="8" s="1"/>
  <c r="B37" i="8" s="1" a="1"/>
  <c r="B37" i="8" s="1"/>
  <c r="C37" i="8" a="1"/>
  <c r="C37" i="8" s="1"/>
  <c r="D37" i="8" a="1"/>
  <c r="D37" i="8" s="1"/>
  <c r="F37" i="8" a="1"/>
  <c r="F37" i="8" s="1"/>
  <c r="H37" i="8" a="1"/>
  <c r="H37" i="8" s="1"/>
  <c r="I37" i="8" a="1"/>
  <c r="I37" i="8" s="1"/>
  <c r="J37" i="8" a="1"/>
  <c r="J37" i="8" s="1"/>
  <c r="A38" i="8" a="1"/>
  <c r="A38" i="8" s="1"/>
  <c r="E38" i="8" s="1" a="1"/>
  <c r="E38" i="8" s="1"/>
  <c r="B38" i="8" a="1"/>
  <c r="B38" i="8" s="1"/>
  <c r="K38" i="8" a="1"/>
  <c r="K38" i="8" s="1"/>
  <c r="A39" i="8" a="1"/>
  <c r="A39" i="8" s="1"/>
  <c r="H39" i="8" s="1" a="1"/>
  <c r="H39" i="8" s="1"/>
  <c r="B39" i="8" a="1"/>
  <c r="B39" i="8" s="1"/>
  <c r="D39" i="8" a="1"/>
  <c r="D39" i="8" s="1"/>
  <c r="E39" i="8" a="1"/>
  <c r="E39" i="8" s="1"/>
  <c r="A40" i="8" a="1"/>
  <c r="A40" i="8" s="1"/>
  <c r="K40" i="8" s="1" a="1"/>
  <c r="K40" i="8" s="1"/>
  <c r="A41" i="8" a="1"/>
  <c r="A41" i="8" s="1"/>
  <c r="B41" i="8" s="1" a="1"/>
  <c r="B41" i="8" s="1"/>
  <c r="C41" i="8" a="1"/>
  <c r="C41" i="8" s="1"/>
  <c r="F41" i="8" a="1"/>
  <c r="F41" i="8" s="1"/>
  <c r="G41" i="8" a="1"/>
  <c r="G41" i="8" s="1"/>
  <c r="H41" i="8" a="1"/>
  <c r="H41" i="8" s="1"/>
  <c r="I41" i="8" a="1"/>
  <c r="I41" i="8" s="1"/>
  <c r="K41" i="8" a="1"/>
  <c r="K41" i="8" s="1"/>
  <c r="A42" i="8" a="1"/>
  <c r="A42" i="8" s="1"/>
  <c r="A43" i="8" a="1"/>
  <c r="A43" i="8" s="1"/>
  <c r="G43" i="8" s="1" a="1"/>
  <c r="G43" i="8" s="1"/>
  <c r="D43" i="8" a="1"/>
  <c r="D43" i="8" s="1"/>
  <c r="A44" i="8" a="1"/>
  <c r="A44" i="8" s="1"/>
  <c r="E44" i="8" s="1" a="1"/>
  <c r="E44" i="8" s="1"/>
  <c r="B44" i="8" a="1"/>
  <c r="B44" i="8" s="1"/>
  <c r="C44" i="8" a="1"/>
  <c r="C44" i="8"/>
  <c r="D44" i="8" a="1"/>
  <c r="D44" i="8" s="1"/>
  <c r="F44" i="8" a="1"/>
  <c r="F44" i="8" s="1"/>
  <c r="G44" i="8" a="1"/>
  <c r="G44" i="8" s="1"/>
  <c r="H44" i="8" a="1"/>
  <c r="H44" i="8" s="1"/>
  <c r="J44" i="8" a="1"/>
  <c r="J44" i="8" s="1"/>
  <c r="K44" i="8" a="1"/>
  <c r="K44" i="8" s="1"/>
  <c r="A45" i="8" a="1"/>
  <c r="A45" i="8" s="1"/>
  <c r="B45" i="8" s="1" a="1"/>
  <c r="B45" i="8" s="1"/>
  <c r="C45" i="8" a="1"/>
  <c r="C45" i="8" s="1"/>
  <c r="H45" i="8" a="1"/>
  <c r="H45" i="8" s="1"/>
  <c r="J45" i="8" a="1"/>
  <c r="J45" i="8" s="1"/>
  <c r="A46" i="8" a="1"/>
  <c r="A46" i="8" s="1"/>
  <c r="B46" i="8" s="1" a="1"/>
  <c r="B46" i="8" s="1"/>
  <c r="E46" i="8" a="1"/>
  <c r="E46" i="8" s="1"/>
  <c r="F46" i="8" a="1"/>
  <c r="F46" i="8" s="1"/>
  <c r="K46" i="8" a="1"/>
  <c r="K46" i="8" s="1"/>
  <c r="A47" i="8" a="1"/>
  <c r="A47" i="8" s="1"/>
  <c r="E47" i="8" s="1" a="1"/>
  <c r="E47" i="8" s="1"/>
  <c r="D47" i="8" a="1"/>
  <c r="D47" i="8" s="1"/>
  <c r="H47" i="8" a="1"/>
  <c r="H47" i="8" s="1"/>
  <c r="J47" i="8" a="1"/>
  <c r="J47" i="8" s="1"/>
  <c r="K47" i="8" a="1"/>
  <c r="K47" i="8" s="1"/>
  <c r="A48" i="8" a="1"/>
  <c r="A48" i="8" s="1"/>
  <c r="H48" i="8" s="1" a="1"/>
  <c r="H48" i="8" s="1"/>
  <c r="C48" i="8" a="1"/>
  <c r="C48" i="8" s="1"/>
  <c r="F48" i="8" a="1"/>
  <c r="F48" i="8" s="1"/>
  <c r="A49" i="8" a="1"/>
  <c r="A49" i="8" s="1"/>
  <c r="C49" i="8" s="1" a="1"/>
  <c r="C49" i="8" s="1"/>
  <c r="B49" i="8" a="1"/>
  <c r="B49" i="8" s="1"/>
  <c r="D49" i="8" a="1"/>
  <c r="D49" i="8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K49" i="8" a="1"/>
  <c r="K49" i="8" s="1"/>
  <c r="A50" i="8" a="1"/>
  <c r="A50" i="8" s="1"/>
  <c r="A51" i="8" a="1"/>
  <c r="A51" i="8" s="1"/>
  <c r="D51" i="8" s="1" a="1"/>
  <c r="D51" i="8" s="1"/>
  <c r="A52" i="8" a="1"/>
  <c r="A52" i="8" s="1"/>
  <c r="G52" i="8" s="1" a="1"/>
  <c r="G52" i="8" s="1"/>
  <c r="D52" i="8" a="1"/>
  <c r="D52" i="8" s="1"/>
  <c r="A53" i="8" a="1"/>
  <c r="A53" i="8" s="1"/>
  <c r="K53" i="8" s="1" a="1"/>
  <c r="K53" i="8" s="1"/>
  <c r="C53" i="8" a="1"/>
  <c r="C53" i="8" s="1"/>
  <c r="D53" i="8" a="1"/>
  <c r="D53" i="8" s="1"/>
  <c r="E53" i="8" a="1"/>
  <c r="E53" i="8" s="1"/>
  <c r="H53" i="8" a="1"/>
  <c r="H53" i="8" s="1"/>
  <c r="I53" i="8" a="1"/>
  <c r="I53" i="8" s="1"/>
  <c r="J53" i="8" a="1"/>
  <c r="J53" i="8" s="1"/>
  <c r="A54" i="8" a="1"/>
  <c r="A54" i="8" s="1"/>
  <c r="C54" i="8" s="1" a="1"/>
  <c r="C54" i="8" s="1"/>
  <c r="B54" i="8" a="1"/>
  <c r="B54" i="8" s="1"/>
  <c r="D54" i="8" a="1"/>
  <c r="D54" i="8" s="1"/>
  <c r="F54" i="8" a="1"/>
  <c r="F54" i="8" s="1"/>
  <c r="G54" i="8" a="1"/>
  <c r="G54" i="8" s="1"/>
  <c r="H54" i="8" a="1"/>
  <c r="H54" i="8" s="1"/>
  <c r="K54" i="8" a="1"/>
  <c r="K54" i="8" s="1"/>
  <c r="A55" i="8" a="1"/>
  <c r="A55" i="8" s="1"/>
  <c r="C55" i="8" s="1" a="1"/>
  <c r="C55" i="8" s="1"/>
  <c r="B55" i="8" a="1"/>
  <c r="B55" i="8"/>
  <c r="D55" i="8" a="1"/>
  <c r="D55" i="8" s="1"/>
  <c r="E55" i="8" a="1"/>
  <c r="E55" i="8" s="1"/>
  <c r="G55" i="8" a="1"/>
  <c r="G55" i="8" s="1"/>
  <c r="J55" i="8" a="1"/>
  <c r="J55" i="8"/>
  <c r="K55" i="8" a="1"/>
  <c r="K55" i="8" s="1"/>
  <c r="A56" i="8" a="1"/>
  <c r="A56" i="8" s="1"/>
  <c r="F56" i="8" s="1" a="1"/>
  <c r="F56" i="8" s="1"/>
  <c r="C56" i="8" a="1"/>
  <c r="C56" i="8" s="1"/>
  <c r="A57" i="8" a="1"/>
  <c r="A57" i="8" s="1"/>
  <c r="G57" i="8" s="1" a="1"/>
  <c r="G57" i="8" s="1"/>
  <c r="A58" i="8" a="1"/>
  <c r="A58" i="8" s="1"/>
  <c r="A59" i="8" a="1"/>
  <c r="A59" i="8" s="1"/>
  <c r="K59" i="8" s="1" a="1"/>
  <c r="K59" i="8" s="1"/>
  <c r="B59" i="8" a="1"/>
  <c r="B59" i="8" s="1"/>
  <c r="C59" i="8" a="1"/>
  <c r="C59" i="8" s="1"/>
  <c r="E59" i="8" a="1"/>
  <c r="E59" i="8" s="1"/>
  <c r="F59" i="8" a="1"/>
  <c r="F59" i="8"/>
  <c r="H59" i="8" a="1"/>
  <c r="H59" i="8" s="1"/>
  <c r="A60" i="8" a="1"/>
  <c r="A60" i="8" s="1"/>
  <c r="B60" i="8" s="1" a="1"/>
  <c r="B60" i="8" s="1"/>
  <c r="F60" i="8" a="1"/>
  <c r="F60" i="8" s="1"/>
  <c r="G60" i="8" a="1"/>
  <c r="G60" i="8" s="1"/>
  <c r="H60" i="8" a="1"/>
  <c r="H60" i="8" s="1"/>
  <c r="I60" i="8" a="1"/>
  <c r="I60" i="8" s="1"/>
  <c r="A61" i="8" a="1"/>
  <c r="A61" i="8" s="1"/>
  <c r="B61" i="8" s="1" a="1"/>
  <c r="B61" i="8" s="1"/>
  <c r="A62" i="8" a="1"/>
  <c r="A62" i="8" s="1"/>
  <c r="E62" i="8" s="1" a="1"/>
  <c r="E62" i="8" s="1"/>
  <c r="A63" i="8" a="1"/>
  <c r="A63" i="8" s="1"/>
  <c r="A64" i="8" a="1"/>
  <c r="A64" i="8" s="1"/>
  <c r="H64" i="8" s="1" a="1"/>
  <c r="H64" i="8" s="1"/>
  <c r="A65" i="8" a="1"/>
  <c r="A65" i="8" s="1"/>
  <c r="J65" i="8" s="1" a="1"/>
  <c r="J65" i="8" s="1"/>
  <c r="D65" i="8" a="1"/>
  <c r="D65" i="8" s="1"/>
  <c r="F65" i="8" a="1"/>
  <c r="F65" i="8" s="1"/>
  <c r="A66" i="8" a="1"/>
  <c r="A66" i="8" s="1"/>
  <c r="A67" i="8" a="1"/>
  <c r="A67" i="8" s="1"/>
  <c r="B67" i="8" s="1" a="1"/>
  <c r="B67" i="8" s="1"/>
  <c r="J67" i="8" a="1"/>
  <c r="J67" i="8" s="1"/>
  <c r="A68" i="8" a="1"/>
  <c r="A68" i="8" s="1"/>
  <c r="C68" i="8" s="1" a="1"/>
  <c r="C68" i="8" s="1"/>
  <c r="B68" i="8" a="1"/>
  <c r="B68" i="8" s="1"/>
  <c r="H68" i="8" a="1"/>
  <c r="H68" i="8" s="1"/>
  <c r="I68" i="8" a="1"/>
  <c r="I68" i="8" s="1"/>
  <c r="J68" i="8" a="1"/>
  <c r="J68" i="8" s="1"/>
  <c r="A69" i="8" a="1"/>
  <c r="A69" i="8" s="1"/>
  <c r="D69" i="8" s="1" a="1"/>
  <c r="D69" i="8" s="1"/>
  <c r="B69" i="8" a="1"/>
  <c r="B69" i="8" s="1"/>
  <c r="C69" i="8" a="1"/>
  <c r="C69" i="8" s="1"/>
  <c r="E69" i="8" a="1"/>
  <c r="E69" i="8" s="1"/>
  <c r="G69" i="8" a="1"/>
  <c r="G69" i="8" s="1"/>
  <c r="H69" i="8" a="1"/>
  <c r="H69" i="8" s="1"/>
  <c r="I69" i="8" a="1"/>
  <c r="I69" i="8" s="1"/>
  <c r="J69" i="8" a="1"/>
  <c r="J69" i="8" s="1"/>
  <c r="K69" i="8" a="1"/>
  <c r="K69" i="8" s="1"/>
  <c r="A70" i="8" a="1"/>
  <c r="A70" i="8" s="1"/>
  <c r="F70" i="8" s="1" a="1"/>
  <c r="F70" i="8" s="1"/>
  <c r="A71" i="8" a="1"/>
  <c r="A71" i="8" s="1"/>
  <c r="A72" i="8" a="1"/>
  <c r="A72" i="8" s="1"/>
  <c r="I72" i="8" s="1" a="1"/>
  <c r="I72" i="8" s="1"/>
  <c r="B72" i="8" a="1"/>
  <c r="B72" i="8" s="1"/>
  <c r="C72" i="8" a="1"/>
  <c r="C72" i="8" s="1"/>
  <c r="D72" i="8" a="1"/>
  <c r="D72" i="8" s="1"/>
  <c r="E72" i="8" a="1"/>
  <c r="E72" i="8" s="1"/>
  <c r="H72" i="8" a="1"/>
  <c r="H72" i="8" s="1"/>
  <c r="A73" i="8" a="1"/>
  <c r="A73" i="8" s="1"/>
  <c r="B73" i="8" s="1" a="1"/>
  <c r="B73" i="8" s="1"/>
  <c r="A74" i="8" a="1"/>
  <c r="A74" i="8" s="1"/>
  <c r="A75" i="8" a="1"/>
  <c r="A75" i="8" s="1"/>
  <c r="B75" i="8" s="1" a="1"/>
  <c r="B75" i="8" s="1"/>
  <c r="A76" i="8" a="1"/>
  <c r="A76" i="8" s="1"/>
  <c r="C76" i="8" s="1" a="1"/>
  <c r="C76" i="8" s="1"/>
  <c r="E76" i="8" a="1"/>
  <c r="E76" i="8" s="1"/>
  <c r="J76" i="8" a="1"/>
  <c r="J76" i="8"/>
  <c r="A77" i="8" a="1"/>
  <c r="A77" i="8" s="1"/>
  <c r="C77" i="8" s="1" a="1"/>
  <c r="C77" i="8" s="1"/>
  <c r="A78" i="8" a="1"/>
  <c r="A78" i="8"/>
  <c r="D78" i="8" s="1" a="1"/>
  <c r="D78" i="8" s="1"/>
  <c r="B78" i="8" a="1"/>
  <c r="B78" i="8" s="1"/>
  <c r="A79" i="8" a="1"/>
  <c r="A79" i="8" s="1"/>
  <c r="A20" i="8" a="1"/>
  <c r="A20" i="8" s="1"/>
  <c r="B15" i="8"/>
  <c r="C15" i="8"/>
  <c r="D15" i="8"/>
  <c r="B6" i="8"/>
  <c r="C6" i="8"/>
  <c r="D6" i="8"/>
  <c r="B7" i="8"/>
  <c r="C7" i="8"/>
  <c r="D7" i="8"/>
  <c r="B8" i="8"/>
  <c r="C8" i="8"/>
  <c r="D8" i="8"/>
  <c r="B9" i="8"/>
  <c r="C9" i="8"/>
  <c r="D9" i="8"/>
  <c r="B10" i="8"/>
  <c r="C10" i="8"/>
  <c r="D10" i="8"/>
  <c r="B11" i="8"/>
  <c r="C11" i="8"/>
  <c r="D11" i="8"/>
  <c r="B12" i="8"/>
  <c r="C12" i="8"/>
  <c r="D12" i="8"/>
  <c r="B13" i="8"/>
  <c r="C13" i="8"/>
  <c r="D13" i="8"/>
  <c r="B14" i="8"/>
  <c r="C14" i="8"/>
  <c r="D14" i="8"/>
  <c r="B5" i="8"/>
  <c r="C5" i="8"/>
  <c r="D5" i="8"/>
  <c r="A15" i="7" a="1"/>
  <c r="A15" i="7" s="1"/>
  <c r="F15" i="7" a="1"/>
  <c r="F15" i="7"/>
  <c r="G15" i="7" a="1"/>
  <c r="G15" i="7" s="1"/>
  <c r="H15" i="7" a="1"/>
  <c r="H15" i="7" s="1"/>
  <c r="I15" i="7" a="1"/>
  <c r="I15" i="7" s="1"/>
  <c r="M15" i="7" a="1"/>
  <c r="M15" i="7" s="1"/>
  <c r="A16" i="7" a="1"/>
  <c r="A16" i="7" s="1"/>
  <c r="A17" i="7" a="1"/>
  <c r="A17" i="7" s="1"/>
  <c r="C17" i="7" s="1" a="1"/>
  <c r="C17" i="7" s="1"/>
  <c r="A18" i="7" a="1"/>
  <c r="A18" i="7" s="1"/>
  <c r="A19" i="7" a="1"/>
  <c r="A19" i="7"/>
  <c r="C19" i="7" s="1" a="1"/>
  <c r="C19" i="7" s="1"/>
  <c r="B19" i="7" a="1"/>
  <c r="B19" i="7" s="1"/>
  <c r="M19" i="7" a="1"/>
  <c r="M19" i="7" s="1"/>
  <c r="A20" i="7" a="1"/>
  <c r="A20" i="7" s="1"/>
  <c r="B20" i="7" a="1"/>
  <c r="B20" i="7" s="1"/>
  <c r="D20" i="7" a="1"/>
  <c r="D20" i="7" s="1"/>
  <c r="L20" i="7" a="1"/>
  <c r="L20" i="7"/>
  <c r="M20" i="7" a="1"/>
  <c r="M20" i="7" s="1"/>
  <c r="A21" i="7" a="1"/>
  <c r="A21" i="7" s="1"/>
  <c r="A22" i="7" a="1"/>
  <c r="A22" i="7"/>
  <c r="B22" i="7" a="1"/>
  <c r="B22" i="7"/>
  <c r="C22" i="7" a="1"/>
  <c r="C22" i="7"/>
  <c r="D22" i="7" a="1"/>
  <c r="D22" i="7"/>
  <c r="E22" i="7" a="1"/>
  <c r="E22" i="7"/>
  <c r="F22" i="7" a="1"/>
  <c r="F22" i="7" s="1"/>
  <c r="G22" i="7" a="1"/>
  <c r="G22" i="7" s="1"/>
  <c r="H22" i="7" a="1"/>
  <c r="H22" i="7" s="1"/>
  <c r="I22" i="7" a="1"/>
  <c r="I22" i="7" s="1"/>
  <c r="J22" i="7" a="1"/>
  <c r="J22" i="7" s="1"/>
  <c r="K22" i="7" a="1"/>
  <c r="K22" i="7"/>
  <c r="L22" i="7" a="1"/>
  <c r="L22" i="7" s="1"/>
  <c r="M22" i="7" a="1"/>
  <c r="M22" i="7" s="1"/>
  <c r="A23" i="7" a="1"/>
  <c r="A23" i="7" s="1"/>
  <c r="G23" i="7" s="1" a="1"/>
  <c r="G23" i="7" s="1"/>
  <c r="C23" i="7" a="1"/>
  <c r="C23" i="7" s="1"/>
  <c r="D23" i="7" a="1"/>
  <c r="D23" i="7"/>
  <c r="L23" i="7" a="1"/>
  <c r="L23" i="7" s="1"/>
  <c r="M23" i="7" a="1"/>
  <c r="M23" i="7"/>
  <c r="A24" i="7" a="1"/>
  <c r="A24" i="7" s="1"/>
  <c r="A25" i="7" a="1"/>
  <c r="A25" i="7" s="1"/>
  <c r="B25" i="7" s="1" a="1"/>
  <c r="B25" i="7" s="1"/>
  <c r="E25" i="7" a="1"/>
  <c r="E25" i="7" s="1"/>
  <c r="F25" i="7" a="1"/>
  <c r="F25" i="7"/>
  <c r="G25" i="7" a="1"/>
  <c r="G25" i="7" s="1"/>
  <c r="I25" i="7" a="1"/>
  <c r="I25" i="7" s="1"/>
  <c r="K25" i="7" a="1"/>
  <c r="K25" i="7" s="1"/>
  <c r="A26" i="7" a="1"/>
  <c r="A26" i="7"/>
  <c r="H26" i="7" s="1" a="1"/>
  <c r="H26" i="7" s="1"/>
  <c r="C26" i="7" a="1"/>
  <c r="C26" i="7" s="1"/>
  <c r="D26" i="7" a="1"/>
  <c r="D26" i="7" s="1"/>
  <c r="E26" i="7" a="1"/>
  <c r="E26" i="7" s="1"/>
  <c r="F26" i="7" a="1"/>
  <c r="F26" i="7" s="1"/>
  <c r="L26" i="7" a="1"/>
  <c r="L26" i="7" s="1"/>
  <c r="A27" i="7" a="1"/>
  <c r="A27" i="7"/>
  <c r="D27" i="7" s="1" a="1"/>
  <c r="D27" i="7" s="1"/>
  <c r="K27" i="7" a="1"/>
  <c r="K27" i="7" s="1"/>
  <c r="A28" i="7" a="1"/>
  <c r="A28" i="7" s="1"/>
  <c r="B28" i="7" s="1" a="1"/>
  <c r="B28" i="7" s="1"/>
  <c r="G28" i="7" a="1"/>
  <c r="G28" i="7"/>
  <c r="A29" i="7" a="1"/>
  <c r="A29" i="7" s="1"/>
  <c r="A30" i="7" a="1"/>
  <c r="A30" i="7"/>
  <c r="E30" i="7" s="1" a="1"/>
  <c r="E30" i="7" s="1"/>
  <c r="B30" i="7" a="1"/>
  <c r="B30" i="7" s="1"/>
  <c r="K30" i="7" a="1"/>
  <c r="K30" i="7"/>
  <c r="A31" i="7" a="1"/>
  <c r="A31" i="7" s="1"/>
  <c r="A32" i="7" a="1"/>
  <c r="A32" i="7"/>
  <c r="I32" i="7" s="1" a="1"/>
  <c r="I32" i="7" s="1"/>
  <c r="D32" i="7" a="1"/>
  <c r="D32" i="7" s="1"/>
  <c r="E32" i="7" a="1"/>
  <c r="E32" i="7" s="1"/>
  <c r="G32" i="7" a="1"/>
  <c r="G32" i="7" s="1"/>
  <c r="K32" i="7" a="1"/>
  <c r="K32" i="7" s="1"/>
  <c r="A33" i="7" a="1"/>
  <c r="A33" i="7" s="1"/>
  <c r="F33" i="7" s="1" a="1"/>
  <c r="F33" i="7" s="1"/>
  <c r="A34" i="7" a="1"/>
  <c r="A34" i="7"/>
  <c r="B34" i="7" s="1" a="1"/>
  <c r="B34" i="7" s="1"/>
  <c r="L34" i="7" a="1"/>
  <c r="L34" i="7" s="1"/>
  <c r="A35" i="7" a="1"/>
  <c r="A35" i="7" s="1"/>
  <c r="A36" i="7" a="1"/>
  <c r="A36" i="7" s="1"/>
  <c r="A37" i="7" a="1"/>
  <c r="A37" i="7" s="1"/>
  <c r="A38" i="7" a="1"/>
  <c r="A38" i="7"/>
  <c r="J38" i="7" s="1" a="1"/>
  <c r="J38" i="7" s="1"/>
  <c r="E38" i="7" a="1"/>
  <c r="E38" i="7"/>
  <c r="G38" i="7" a="1"/>
  <c r="G38" i="7" s="1"/>
  <c r="H38" i="7" a="1"/>
  <c r="H38" i="7" s="1"/>
  <c r="K38" i="7" a="1"/>
  <c r="K38" i="7" s="1"/>
  <c r="L38" i="7" a="1"/>
  <c r="L38" i="7" s="1"/>
  <c r="M38" i="7" a="1"/>
  <c r="M38" i="7" s="1"/>
  <c r="A39" i="7" a="1"/>
  <c r="A39" i="7" s="1"/>
  <c r="F39" i="7" s="1" a="1"/>
  <c r="F39" i="7" s="1"/>
  <c r="L39" i="7" a="1"/>
  <c r="L39" i="7" s="1"/>
  <c r="A40" i="7" a="1"/>
  <c r="A40" i="7" s="1"/>
  <c r="L40" i="7" a="1"/>
  <c r="L40" i="7" s="1"/>
  <c r="A41" i="7" a="1"/>
  <c r="A41" i="7" s="1"/>
  <c r="J41" i="7" s="1" a="1"/>
  <c r="J41" i="7" s="1"/>
  <c r="E41" i="7" a="1"/>
  <c r="E41" i="7" s="1"/>
  <c r="F41" i="7" a="1"/>
  <c r="F41" i="7" s="1"/>
  <c r="G41" i="7" a="1"/>
  <c r="G41" i="7" s="1"/>
  <c r="A42" i="7" a="1"/>
  <c r="A42" i="7" s="1"/>
  <c r="A43" i="7" a="1"/>
  <c r="A43" i="7"/>
  <c r="G43" i="7" s="1" a="1"/>
  <c r="G43" i="7" s="1"/>
  <c r="A44" i="7" a="1"/>
  <c r="A44" i="7" s="1"/>
  <c r="G44" i="7" s="1" a="1"/>
  <c r="G44" i="7" s="1"/>
  <c r="C44" i="7" a="1"/>
  <c r="C44" i="7" s="1"/>
  <c r="D44" i="7" a="1"/>
  <c r="D44" i="7" s="1"/>
  <c r="E44" i="7" a="1"/>
  <c r="E44" i="7" s="1"/>
  <c r="L44" i="7" a="1"/>
  <c r="L44" i="7" s="1"/>
  <c r="M44" i="7" a="1"/>
  <c r="M44" i="7" s="1"/>
  <c r="A45" i="7" a="1"/>
  <c r="A45" i="7" s="1"/>
  <c r="H45" i="7" a="1"/>
  <c r="H45" i="7" s="1"/>
  <c r="A46" i="7" a="1"/>
  <c r="A46" i="7" s="1"/>
  <c r="L46" i="7" a="1"/>
  <c r="L46" i="7" s="1"/>
  <c r="A47" i="7" a="1"/>
  <c r="A47" i="7" s="1"/>
  <c r="C47" i="7" s="1" a="1"/>
  <c r="C47" i="7" s="1"/>
  <c r="A48" i="7" a="1"/>
  <c r="A48" i="7" s="1"/>
  <c r="C48" i="7" a="1"/>
  <c r="C48" i="7" s="1"/>
  <c r="G48" i="7" a="1"/>
  <c r="G48" i="7" s="1"/>
  <c r="A49" i="7" a="1"/>
  <c r="A49" i="7" s="1"/>
  <c r="G49" i="7" s="1" a="1"/>
  <c r="G49" i="7" s="1"/>
  <c r="A50" i="7" a="1"/>
  <c r="A50" i="7" s="1"/>
  <c r="C50" i="7" a="1"/>
  <c r="C50" i="7" s="1"/>
  <c r="E50" i="7" a="1"/>
  <c r="E50" i="7" s="1"/>
  <c r="A51" i="7" a="1"/>
  <c r="A51" i="7" s="1"/>
  <c r="B51" i="7" s="1" a="1"/>
  <c r="B51" i="7" s="1"/>
  <c r="E51" i="7" a="1"/>
  <c r="E51" i="7" s="1"/>
  <c r="A52" i="7" a="1"/>
  <c r="A52" i="7" s="1"/>
  <c r="F52" i="7" s="1" a="1"/>
  <c r="F52" i="7" s="1"/>
  <c r="A53" i="7" a="1"/>
  <c r="A53" i="7"/>
  <c r="E53" i="7" s="1" a="1"/>
  <c r="E53" i="7" s="1"/>
  <c r="J53" i="7" a="1"/>
  <c r="J53" i="7" s="1"/>
  <c r="A54" i="7" a="1"/>
  <c r="A54" i="7" s="1"/>
  <c r="B54" i="7" s="1" a="1"/>
  <c r="B54" i="7" s="1"/>
  <c r="D54" i="7" a="1"/>
  <c r="D54" i="7" s="1"/>
  <c r="A55" i="7" a="1"/>
  <c r="A55" i="7" s="1"/>
  <c r="F55" i="7" s="1" a="1"/>
  <c r="F55" i="7" s="1"/>
  <c r="A56" i="7" a="1"/>
  <c r="A56" i="7"/>
  <c r="A57" i="7" a="1"/>
  <c r="A57" i="7" s="1"/>
  <c r="D57" i="7" s="1" a="1"/>
  <c r="D57" i="7" s="1"/>
  <c r="A58" i="7" a="1"/>
  <c r="A58" i="7" s="1"/>
  <c r="E58" i="7" s="1" a="1"/>
  <c r="E58" i="7" s="1"/>
  <c r="A59" i="7" a="1"/>
  <c r="A59" i="7"/>
  <c r="B59" i="7" s="1" a="1"/>
  <c r="B59" i="7" s="1"/>
  <c r="C59" i="7" a="1"/>
  <c r="C59" i="7"/>
  <c r="D59" i="7" a="1"/>
  <c r="D59" i="7" s="1"/>
  <c r="E59" i="7" a="1"/>
  <c r="E59" i="7" s="1"/>
  <c r="F59" i="7" a="1"/>
  <c r="F59" i="7"/>
  <c r="H59" i="7" a="1"/>
  <c r="H59" i="7" s="1"/>
  <c r="I59" i="7" a="1"/>
  <c r="I59" i="7" s="1"/>
  <c r="J59" i="7" a="1"/>
  <c r="J59" i="7" s="1"/>
  <c r="K59" i="7" a="1"/>
  <c r="K59" i="7"/>
  <c r="L59" i="7" a="1"/>
  <c r="L59" i="7" s="1"/>
  <c r="A60" i="7" a="1"/>
  <c r="A60" i="7" s="1"/>
  <c r="C60" i="7" s="1" a="1"/>
  <c r="C60" i="7" s="1"/>
  <c r="A61" i="7" a="1"/>
  <c r="A61" i="7" s="1"/>
  <c r="C61" i="7" s="1" a="1"/>
  <c r="C61" i="7" s="1"/>
  <c r="A62" i="7" a="1"/>
  <c r="A62" i="7" s="1"/>
  <c r="D62" i="7" a="1"/>
  <c r="D62" i="7" s="1"/>
  <c r="A63" i="7" a="1"/>
  <c r="A63" i="7" s="1"/>
  <c r="I63" i="7" s="1" a="1"/>
  <c r="I63" i="7" s="1"/>
  <c r="C63" i="7" a="1"/>
  <c r="C63" i="7" s="1"/>
  <c r="E63" i="7" a="1"/>
  <c r="E63" i="7" s="1"/>
  <c r="G63" i="7" a="1"/>
  <c r="G63" i="7" s="1"/>
  <c r="H63" i="7" a="1"/>
  <c r="H63" i="7" s="1"/>
  <c r="J63" i="7" a="1"/>
  <c r="J63" i="7" s="1"/>
  <c r="K63" i="7" a="1"/>
  <c r="K63" i="7"/>
  <c r="L63" i="7" a="1"/>
  <c r="L63" i="7" s="1"/>
  <c r="M63" i="7" a="1"/>
  <c r="M63" i="7"/>
  <c r="A64" i="7" a="1"/>
  <c r="A64" i="7" s="1"/>
  <c r="B64" i="7" a="1"/>
  <c r="B64" i="7" s="1"/>
  <c r="G64" i="7" a="1"/>
  <c r="G64" i="7" s="1"/>
  <c r="I64" i="7" a="1"/>
  <c r="I64" i="7"/>
  <c r="L64" i="7" a="1"/>
  <c r="L64" i="7" s="1"/>
  <c r="A65" i="7" a="1"/>
  <c r="A65" i="7" s="1"/>
  <c r="D65" i="7" a="1"/>
  <c r="D65" i="7" s="1"/>
  <c r="E65" i="7" a="1"/>
  <c r="E65" i="7" s="1"/>
  <c r="M65" i="7" a="1"/>
  <c r="M65" i="7"/>
  <c r="A66" i="7" a="1"/>
  <c r="A66" i="7"/>
  <c r="E66" i="7" a="1"/>
  <c r="E66" i="7" s="1"/>
  <c r="H66" i="7" a="1"/>
  <c r="H66" i="7"/>
  <c r="J66" i="7" a="1"/>
  <c r="J66" i="7" s="1"/>
  <c r="A67" i="7" a="1"/>
  <c r="A67" i="7" s="1"/>
  <c r="B67" i="7" a="1"/>
  <c r="B67" i="7" s="1"/>
  <c r="D67" i="7" a="1"/>
  <c r="D67" i="7"/>
  <c r="G67" i="7" a="1"/>
  <c r="G67" i="7" s="1"/>
  <c r="I67" i="7" a="1"/>
  <c r="I67" i="7" s="1"/>
  <c r="J67" i="7" a="1"/>
  <c r="J67" i="7" s="1"/>
  <c r="L67" i="7" a="1"/>
  <c r="L67" i="7" s="1"/>
  <c r="A68" i="7" a="1"/>
  <c r="A68" i="7" s="1"/>
  <c r="B68" i="7" a="1"/>
  <c r="B68" i="7" s="1"/>
  <c r="D68" i="7" a="1"/>
  <c r="D68" i="7" s="1"/>
  <c r="E68" i="7" a="1"/>
  <c r="E68" i="7" s="1"/>
  <c r="G68" i="7" a="1"/>
  <c r="G68" i="7" s="1"/>
  <c r="I68" i="7" a="1"/>
  <c r="I68" i="7" s="1"/>
  <c r="J68" i="7" a="1"/>
  <c r="J68" i="7" s="1"/>
  <c r="L68" i="7" a="1"/>
  <c r="L68" i="7" s="1"/>
  <c r="M68" i="7" a="1"/>
  <c r="M68" i="7" s="1"/>
  <c r="A69" i="7" a="1"/>
  <c r="A69" i="7"/>
  <c r="E69" i="7" s="1" a="1"/>
  <c r="E69" i="7" s="1"/>
  <c r="A70" i="7" a="1"/>
  <c r="A70" i="7"/>
  <c r="K70" i="7" s="1" a="1"/>
  <c r="K70" i="7" s="1"/>
  <c r="A71" i="7" a="1"/>
  <c r="A71" i="7"/>
  <c r="K71" i="7" s="1" a="1"/>
  <c r="K71" i="7" s="1"/>
  <c r="A72" i="7" a="1"/>
  <c r="A72" i="7" s="1"/>
  <c r="M72" i="7" s="1" a="1"/>
  <c r="M72" i="7" s="1"/>
  <c r="A73" i="7" a="1"/>
  <c r="A73" i="7" s="1"/>
  <c r="A14" i="7" a="1"/>
  <c r="A14" i="7" s="1"/>
  <c r="E7" i="7"/>
  <c r="F7" i="7"/>
  <c r="G7" i="7"/>
  <c r="E6" i="7"/>
  <c r="F6" i="7"/>
  <c r="G6" i="7"/>
  <c r="E5" i="7"/>
  <c r="F5" i="7"/>
  <c r="G5" i="7"/>
  <c r="B5" i="7"/>
  <c r="B6" i="7"/>
  <c r="B7" i="7" s="1"/>
  <c r="B8" i="7"/>
  <c r="B9" i="7"/>
  <c r="B10" i="7"/>
  <c r="A35" i="6"/>
  <c r="A34" i="6"/>
  <c r="A33" i="6"/>
  <c r="A32" i="6"/>
  <c r="A31" i="6"/>
  <c r="B28" i="6"/>
  <c r="H28" i="6" s="1"/>
  <c r="C28" i="6"/>
  <c r="D28" i="6" s="1"/>
  <c r="E28" i="6"/>
  <c r="F28" i="6"/>
  <c r="G28" i="6"/>
  <c r="B27" i="6"/>
  <c r="H27" i="6" s="1"/>
  <c r="C27" i="6"/>
  <c r="D27" i="6" s="1"/>
  <c r="E27" i="6"/>
  <c r="F27" i="6"/>
  <c r="G27" i="6"/>
  <c r="B26" i="6"/>
  <c r="H26" i="6" s="1"/>
  <c r="C26" i="6"/>
  <c r="D26" i="6" s="1"/>
  <c r="E26" i="6"/>
  <c r="F26" i="6"/>
  <c r="G26" i="6"/>
  <c r="B23" i="6"/>
  <c r="H23" i="6" s="1"/>
  <c r="C23" i="6"/>
  <c r="D23" i="6" s="1"/>
  <c r="E23" i="6"/>
  <c r="F23" i="6"/>
  <c r="G23" i="6"/>
  <c r="B22" i="6"/>
  <c r="H22" i="6" s="1"/>
  <c r="C22" i="6"/>
  <c r="D22" i="6" s="1"/>
  <c r="E22" i="6"/>
  <c r="F22" i="6"/>
  <c r="G22" i="6"/>
  <c r="B21" i="6"/>
  <c r="H21" i="6" s="1"/>
  <c r="C21" i="6"/>
  <c r="D21" i="6" s="1"/>
  <c r="E21" i="6"/>
  <c r="F21" i="6"/>
  <c r="G21" i="6"/>
  <c r="B18" i="6"/>
  <c r="H18" i="6" s="1"/>
  <c r="C18" i="6"/>
  <c r="D18" i="6" s="1"/>
  <c r="E18" i="6"/>
  <c r="F18" i="6"/>
  <c r="G18" i="6"/>
  <c r="B17" i="6"/>
  <c r="H17" i="6" s="1"/>
  <c r="C17" i="6"/>
  <c r="D17" i="6" s="1"/>
  <c r="E17" i="6"/>
  <c r="F17" i="6"/>
  <c r="G17" i="6"/>
  <c r="B16" i="6"/>
  <c r="I16" i="6" s="1"/>
  <c r="C16" i="6"/>
  <c r="D16" i="6" s="1"/>
  <c r="E16" i="6"/>
  <c r="F16" i="6"/>
  <c r="G16" i="6"/>
  <c r="B15" i="6"/>
  <c r="H15" i="6" s="1"/>
  <c r="C15" i="6"/>
  <c r="D15" i="6" s="1"/>
  <c r="E15" i="6"/>
  <c r="F15" i="6"/>
  <c r="G15" i="6"/>
  <c r="B14" i="6"/>
  <c r="H14" i="6" s="1"/>
  <c r="C14" i="6"/>
  <c r="D14" i="6" s="1"/>
  <c r="E14" i="6"/>
  <c r="F14" i="6"/>
  <c r="G14" i="6"/>
  <c r="B13" i="6"/>
  <c r="H13" i="6" s="1"/>
  <c r="C13" i="6"/>
  <c r="D13" i="6" s="1"/>
  <c r="E13" i="6"/>
  <c r="F13" i="6"/>
  <c r="G13" i="6"/>
  <c r="B12" i="6"/>
  <c r="H12" i="6" s="1"/>
  <c r="C12" i="6"/>
  <c r="D12" i="6" s="1"/>
  <c r="E12" i="6"/>
  <c r="F12" i="6"/>
  <c r="G12" i="6"/>
  <c r="B11" i="6"/>
  <c r="H11" i="6" s="1"/>
  <c r="C11" i="6"/>
  <c r="D11" i="6" s="1"/>
  <c r="E11" i="6"/>
  <c r="F11" i="6"/>
  <c r="G11" i="6"/>
  <c r="B10" i="6"/>
  <c r="H10" i="6" s="1"/>
  <c r="C10" i="6"/>
  <c r="D10" i="6" s="1"/>
  <c r="E10" i="6"/>
  <c r="F10" i="6"/>
  <c r="G10" i="6"/>
  <c r="B9" i="6"/>
  <c r="I9" i="6" s="1"/>
  <c r="C9" i="6"/>
  <c r="D9" i="6" s="1"/>
  <c r="E9" i="6"/>
  <c r="F9" i="6"/>
  <c r="G9" i="6"/>
  <c r="B8" i="6"/>
  <c r="H8" i="6" s="1"/>
  <c r="C8" i="6"/>
  <c r="D8" i="6" s="1"/>
  <c r="E8" i="6"/>
  <c r="F8" i="6"/>
  <c r="G8" i="6"/>
  <c r="B5" i="6"/>
  <c r="H5" i="6" s="1"/>
  <c r="C5" i="6"/>
  <c r="D5" i="6" s="1"/>
  <c r="E5" i="6"/>
  <c r="F5" i="6"/>
  <c r="G5" i="6"/>
  <c r="A5" i="5"/>
  <c r="B5" i="5" a="1"/>
  <c r="B5" i="5" s="1"/>
  <c r="A6" i="5"/>
  <c r="B6" i="5" a="1"/>
  <c r="B6" i="5" s="1"/>
  <c r="A7" i="5"/>
  <c r="B7" i="5" a="1"/>
  <c r="B7" i="5" s="1"/>
  <c r="A8" i="5"/>
  <c r="B8" i="5" a="1"/>
  <c r="B8" i="5"/>
  <c r="A9" i="5"/>
  <c r="B9" i="5" a="1"/>
  <c r="B9" i="5" s="1"/>
  <c r="A10" i="5"/>
  <c r="B10" i="5" a="1"/>
  <c r="B10" i="5" s="1"/>
  <c r="C10" i="5" a="1"/>
  <c r="C10" i="5" s="1"/>
  <c r="J10" i="5" s="1" a="1"/>
  <c r="J10" i="5" s="1"/>
  <c r="F10" i="5" a="1"/>
  <c r="F10" i="5" s="1"/>
  <c r="A11" i="5"/>
  <c r="B11" i="5" a="1"/>
  <c r="B11" i="5" s="1"/>
  <c r="A12" i="5"/>
  <c r="B12" i="5" a="1"/>
  <c r="B12" i="5" s="1"/>
  <c r="E12" i="5" s="1" a="1"/>
  <c r="E12" i="5" s="1"/>
  <c r="C12" i="5" a="1"/>
  <c r="C12" i="5" s="1"/>
  <c r="J12" i="5" s="1" a="1"/>
  <c r="J12" i="5" s="1"/>
  <c r="A13" i="5"/>
  <c r="B13" i="5" a="1"/>
  <c r="B13" i="5" s="1"/>
  <c r="D13" i="5" a="1"/>
  <c r="D13" i="5" s="1"/>
  <c r="AB13" i="5" s="1"/>
  <c r="F13" i="5" a="1"/>
  <c r="F13" i="5" s="1"/>
  <c r="AA13" i="5" s="1"/>
  <c r="A14" i="5"/>
  <c r="B14" i="5" a="1"/>
  <c r="B14" i="5" s="1"/>
  <c r="C14" i="5" s="1" a="1"/>
  <c r="C14" i="5" s="1"/>
  <c r="J14" i="5" s="1" a="1"/>
  <c r="J14" i="5" s="1"/>
  <c r="A15" i="5"/>
  <c r="B15" i="5" s="1" a="1"/>
  <c r="B15" i="5" s="1"/>
  <c r="C15" i="5" s="1" a="1"/>
  <c r="C15" i="5" s="1"/>
  <c r="J15" i="5" s="1" a="1"/>
  <c r="J15" i="5" s="1"/>
  <c r="D15" i="5" a="1"/>
  <c r="D15" i="5" s="1"/>
  <c r="AB15" i="5" s="1"/>
  <c r="A16" i="5"/>
  <c r="B16" i="5" a="1"/>
  <c r="B16" i="5"/>
  <c r="C16" i="5" a="1"/>
  <c r="C16" i="5" s="1"/>
  <c r="J16" i="5" s="1" a="1"/>
  <c r="J16" i="5" s="1"/>
  <c r="D16" i="5" a="1"/>
  <c r="D16" i="5" s="1"/>
  <c r="AB16" i="5" s="1"/>
  <c r="E16" i="5" a="1"/>
  <c r="E16" i="5" s="1"/>
  <c r="G16" i="5" a="1"/>
  <c r="G16" i="5" s="1"/>
  <c r="A17" i="5"/>
  <c r="B17" i="5" a="1"/>
  <c r="B17" i="5" s="1"/>
  <c r="A18" i="5"/>
  <c r="B18" i="5" a="1"/>
  <c r="B18" i="5"/>
  <c r="C18" i="5" s="1" a="1"/>
  <c r="C18" i="5" s="1"/>
  <c r="J18" i="5" s="1" a="1"/>
  <c r="J18" i="5" s="1"/>
  <c r="F18" i="5" a="1"/>
  <c r="F18" i="5" s="1"/>
  <c r="G18" i="5" a="1"/>
  <c r="G18" i="5" s="1"/>
  <c r="A19" i="5"/>
  <c r="B19" i="5" a="1"/>
  <c r="B19" i="5" s="1"/>
  <c r="A20" i="5"/>
  <c r="B20" i="5" a="1"/>
  <c r="B20" i="5" s="1"/>
  <c r="G20" i="5" a="1"/>
  <c r="G20" i="5" s="1"/>
  <c r="H20" i="5" a="1"/>
  <c r="H20" i="5" s="1"/>
  <c r="A21" i="5"/>
  <c r="B21" i="5" a="1"/>
  <c r="B21" i="5" s="1"/>
  <c r="D21" i="5" s="1" a="1"/>
  <c r="D21" i="5" s="1"/>
  <c r="AB21" i="5" s="1"/>
  <c r="A22" i="5"/>
  <c r="B22" i="5" a="1"/>
  <c r="B22" i="5" s="1"/>
  <c r="F22" i="5" s="1" a="1"/>
  <c r="F22" i="5" s="1"/>
  <c r="AA22" i="5" s="1"/>
  <c r="A23" i="5"/>
  <c r="B23" i="5" s="1" a="1"/>
  <c r="B23" i="5" s="1"/>
  <c r="E23" i="5" s="1" a="1"/>
  <c r="E23" i="5" s="1"/>
  <c r="A24" i="5"/>
  <c r="B24" i="5" a="1"/>
  <c r="B24" i="5"/>
  <c r="A25" i="5"/>
  <c r="B25" i="5" a="1"/>
  <c r="B25" i="5"/>
  <c r="C25" i="5" a="1"/>
  <c r="C25" i="5" s="1"/>
  <c r="J25" i="5" s="1" a="1"/>
  <c r="J25" i="5" s="1"/>
  <c r="D25" i="5" a="1"/>
  <c r="D25" i="5" s="1"/>
  <c r="AB25" i="5" s="1"/>
  <c r="A26" i="5"/>
  <c r="B26" i="5" a="1"/>
  <c r="B26" i="5" s="1"/>
  <c r="C26" i="5" a="1"/>
  <c r="C26" i="5" s="1"/>
  <c r="J26" i="5" s="1" a="1"/>
  <c r="J26" i="5" s="1"/>
  <c r="E26" i="5" a="1"/>
  <c r="E26" i="5" s="1"/>
  <c r="A27" i="5"/>
  <c r="B27" i="5" a="1"/>
  <c r="B27" i="5" s="1"/>
  <c r="A28" i="5"/>
  <c r="B28" i="5" a="1"/>
  <c r="B28" i="5" s="1"/>
  <c r="H28" i="5" s="1" a="1"/>
  <c r="H28" i="5" s="1"/>
  <c r="C28" i="5" a="1"/>
  <c r="C28" i="5" s="1"/>
  <c r="J28" i="5" s="1" a="1"/>
  <c r="J28" i="5" s="1"/>
  <c r="D28" i="5" a="1"/>
  <c r="D28" i="5" s="1"/>
  <c r="E28" i="5" a="1"/>
  <c r="E28" i="5"/>
  <c r="F28" i="5" a="1"/>
  <c r="F28" i="5" s="1"/>
  <c r="G28" i="5" a="1"/>
  <c r="G28" i="5" s="1"/>
  <c r="AB28" i="5"/>
  <c r="AC28" i="5" s="1"/>
  <c r="A29" i="5"/>
  <c r="B29" i="5" a="1"/>
  <c r="B29" i="5" s="1"/>
  <c r="H29" i="5" s="1" a="1"/>
  <c r="H29" i="5" s="1"/>
  <c r="F29" i="5" a="1"/>
  <c r="F29" i="5" s="1"/>
  <c r="S29" i="5" s="1"/>
  <c r="A30" i="5"/>
  <c r="B30" i="5" a="1"/>
  <c r="B30" i="5" s="1"/>
  <c r="A31" i="5"/>
  <c r="B31" i="5" a="1"/>
  <c r="B31" i="5" s="1"/>
  <c r="F31" i="5" s="1" a="1"/>
  <c r="F31" i="5" s="1"/>
  <c r="S31" i="5" s="1"/>
  <c r="G31" i="5" a="1"/>
  <c r="G31" i="5" s="1"/>
  <c r="A32" i="5"/>
  <c r="B32" i="5" a="1"/>
  <c r="B32" i="5" s="1"/>
  <c r="D32" i="5" s="1" a="1"/>
  <c r="D32" i="5" s="1"/>
  <c r="AB32" i="5" s="1"/>
  <c r="C32" i="5" a="1"/>
  <c r="C32" i="5" s="1"/>
  <c r="J32" i="5" s="1" a="1"/>
  <c r="J32" i="5" s="1"/>
  <c r="E32" i="5" a="1"/>
  <c r="E32" i="5" s="1"/>
  <c r="A33" i="5"/>
  <c r="B33" i="5" a="1"/>
  <c r="B33" i="5" s="1"/>
  <c r="A34" i="5"/>
  <c r="B34" i="5" a="1"/>
  <c r="B34" i="5" s="1"/>
  <c r="C34" i="5" s="1" a="1"/>
  <c r="C34" i="5" s="1"/>
  <c r="J34" i="5" s="1" a="1"/>
  <c r="J34" i="5" s="1"/>
  <c r="E34" i="5" a="1"/>
  <c r="E34" i="5" s="1"/>
  <c r="F34" i="5" a="1"/>
  <c r="F34" i="5" s="1"/>
  <c r="A35" i="5"/>
  <c r="B35" i="5" a="1"/>
  <c r="B35" i="5" s="1"/>
  <c r="A36" i="5"/>
  <c r="B36" i="5" s="1" a="1"/>
  <c r="B36" i="5" s="1"/>
  <c r="A37" i="5"/>
  <c r="B37" i="5" s="1" a="1"/>
  <c r="B37" i="5" s="1"/>
  <c r="E37" i="5" s="1" a="1"/>
  <c r="E37" i="5" s="1"/>
  <c r="A38" i="5"/>
  <c r="B38" i="5" s="1" a="1"/>
  <c r="B38" i="5"/>
  <c r="A39" i="5"/>
  <c r="B39" i="5" s="1" a="1"/>
  <c r="B39" i="5" s="1"/>
  <c r="A40" i="5"/>
  <c r="B40" i="5" a="1"/>
  <c r="B40" i="5"/>
  <c r="D40" i="5" s="1" a="1"/>
  <c r="D40" i="5" s="1"/>
  <c r="AB40" i="5" s="1"/>
  <c r="C40" i="5" a="1"/>
  <c r="C40" i="5" s="1"/>
  <c r="J40" i="5" s="1" a="1"/>
  <c r="J40" i="5" s="1"/>
  <c r="F40" i="5" a="1"/>
  <c r="F40" i="5" s="1"/>
  <c r="H40" i="5" a="1"/>
  <c r="H40" i="5" s="1"/>
  <c r="A41" i="5"/>
  <c r="B41" i="5" s="1" a="1"/>
  <c r="B41" i="5" s="1"/>
  <c r="G41" i="5" s="1" a="1"/>
  <c r="C41" i="5" a="1"/>
  <c r="C41" i="5" s="1"/>
  <c r="J41" i="5" s="1" a="1"/>
  <c r="J41" i="5" s="1"/>
  <c r="E41" i="5" a="1"/>
  <c r="E41" i="5" s="1"/>
  <c r="G41" i="5"/>
  <c r="A42" i="5"/>
  <c r="B42" i="5" a="1"/>
  <c r="B42" i="5" s="1"/>
  <c r="E42" i="5" s="1" a="1"/>
  <c r="E42" i="5" s="1"/>
  <c r="F42" i="5" a="1"/>
  <c r="F42" i="5" s="1"/>
  <c r="A43" i="5"/>
  <c r="B43" i="5" s="1" a="1"/>
  <c r="B43" i="5"/>
  <c r="C43" i="5" a="1"/>
  <c r="C43" i="5" s="1"/>
  <c r="J43" i="5" s="1" a="1"/>
  <c r="J43" i="5" s="1"/>
  <c r="A44" i="5"/>
  <c r="B44" i="5" a="1"/>
  <c r="B44" i="5" s="1"/>
  <c r="A45" i="5"/>
  <c r="B45" i="5" s="1" a="1"/>
  <c r="B45" i="5" s="1"/>
  <c r="E45" i="5" a="1"/>
  <c r="E45" i="5" s="1"/>
  <c r="H45" i="5" a="1"/>
  <c r="H45" i="5" s="1"/>
  <c r="A46" i="5"/>
  <c r="B46" i="5" a="1"/>
  <c r="B46" i="5" s="1"/>
  <c r="D46" i="5" s="1" a="1"/>
  <c r="D46" i="5" s="1"/>
  <c r="AB46" i="5" s="1"/>
  <c r="A47" i="5"/>
  <c r="B47" i="5" s="1" a="1"/>
  <c r="B47" i="5" s="1"/>
  <c r="A48" i="5"/>
  <c r="B48" i="5" a="1"/>
  <c r="B48" i="5" s="1"/>
  <c r="D48" i="5" a="1"/>
  <c r="D48" i="5" s="1"/>
  <c r="AB48" i="5" s="1"/>
  <c r="A49" i="5"/>
  <c r="B49" i="5" s="1" a="1"/>
  <c r="B49" i="5" s="1"/>
  <c r="C49" i="5" a="1"/>
  <c r="C49" i="5" s="1"/>
  <c r="D49" i="5" a="1"/>
  <c r="D49" i="5" s="1"/>
  <c r="AB49" i="5" s="1"/>
  <c r="J49" i="5" a="1"/>
  <c r="J49" i="5" s="1"/>
  <c r="L49" i="5" s="1" a="1"/>
  <c r="L49" i="5" s="1"/>
  <c r="O49" i="5" a="1"/>
  <c r="O49" i="5" s="1"/>
  <c r="A50" i="5"/>
  <c r="B50" i="5" s="1" a="1"/>
  <c r="B50" i="5" s="1"/>
  <c r="H50" i="5" s="1" a="1"/>
  <c r="C50" i="5" a="1"/>
  <c r="C50" i="5"/>
  <c r="E50" i="5" a="1"/>
  <c r="E50" i="5"/>
  <c r="G50" i="5" a="1"/>
  <c r="G50" i="5" s="1"/>
  <c r="I50" i="5" s="1"/>
  <c r="H50" i="5"/>
  <c r="J50" i="5" a="1"/>
  <c r="J50" i="5" s="1"/>
  <c r="A51" i="5"/>
  <c r="B51" i="5" a="1"/>
  <c r="B51" i="5" s="1"/>
  <c r="A52" i="5"/>
  <c r="B52" i="5" a="1"/>
  <c r="B52" i="5" s="1"/>
  <c r="C52" i="5" a="1"/>
  <c r="C52" i="5" s="1"/>
  <c r="J52" i="5" s="1" a="1"/>
  <c r="J52" i="5" s="1"/>
  <c r="A53" i="5"/>
  <c r="B53" i="5" a="1"/>
  <c r="B53" i="5" s="1"/>
  <c r="C53" i="5" s="1" a="1"/>
  <c r="C53" i="5" s="1"/>
  <c r="J53" i="5" s="1" a="1"/>
  <c r="J53" i="5" s="1"/>
  <c r="A54" i="5"/>
  <c r="B54" i="5" s="1" a="1"/>
  <c r="B54" i="5"/>
  <c r="E54" i="5" a="1"/>
  <c r="E54" i="5" s="1"/>
  <c r="F54" i="5" a="1"/>
  <c r="F54" i="5" s="1"/>
  <c r="G54" i="5" a="1"/>
  <c r="G54" i="5" s="1"/>
  <c r="A55" i="5"/>
  <c r="B55" i="5" a="1"/>
  <c r="B55" i="5"/>
  <c r="A56" i="5"/>
  <c r="B56" i="5" s="1" a="1"/>
  <c r="B56" i="5"/>
  <c r="E56" i="5" s="1" a="1"/>
  <c r="E56" i="5" s="1"/>
  <c r="F56" i="5" a="1"/>
  <c r="F56" i="5" s="1"/>
  <c r="A57" i="5"/>
  <c r="B57" i="5" a="1"/>
  <c r="B57" i="5"/>
  <c r="D57" i="5" a="1"/>
  <c r="D57" i="5"/>
  <c r="F57" i="5" a="1"/>
  <c r="F57" i="5" s="1"/>
  <c r="AB57" i="5"/>
  <c r="A58" i="5"/>
  <c r="B58" i="5" a="1"/>
  <c r="B58" i="5" s="1"/>
  <c r="C58" i="5" a="1"/>
  <c r="C58" i="5" s="1"/>
  <c r="J58" i="5" s="1" a="1"/>
  <c r="J58" i="5" s="1"/>
  <c r="E58" i="5" a="1"/>
  <c r="E58" i="5" s="1"/>
  <c r="F58" i="5" a="1"/>
  <c r="F58" i="5" s="1"/>
  <c r="G58" i="5" a="1"/>
  <c r="G58" i="5" s="1"/>
  <c r="O58" i="5" a="1"/>
  <c r="O58" i="5" s="1"/>
  <c r="S58" i="5"/>
  <c r="A59" i="5"/>
  <c r="B59" i="5" s="1" a="1"/>
  <c r="B59" i="5"/>
  <c r="C59" i="5" s="1" a="1"/>
  <c r="C59" i="5" s="1"/>
  <c r="J59" i="5" a="1"/>
  <c r="J59" i="5" s="1"/>
  <c r="A60" i="5"/>
  <c r="B60" i="5" s="1" a="1"/>
  <c r="B60" i="5"/>
  <c r="D60" i="5" a="1"/>
  <c r="D60" i="5" s="1"/>
  <c r="AB60" i="5" s="1"/>
  <c r="E60" i="5" a="1"/>
  <c r="E60" i="5" s="1"/>
  <c r="A61" i="5"/>
  <c r="B61" i="5" a="1"/>
  <c r="B61" i="5"/>
  <c r="H61" i="5" s="1" a="1"/>
  <c r="H61" i="5" s="1"/>
  <c r="D61" i="5" a="1"/>
  <c r="D61" i="5" s="1"/>
  <c r="AB61" i="5" s="1"/>
  <c r="E61" i="5" a="1"/>
  <c r="E61" i="5" s="1"/>
  <c r="F61" i="5" a="1"/>
  <c r="F61" i="5" s="1"/>
  <c r="S61" i="5"/>
  <c r="A62" i="5"/>
  <c r="B62" i="5" a="1"/>
  <c r="B62" i="5"/>
  <c r="A63" i="5"/>
  <c r="B63" i="5" a="1"/>
  <c r="B63" i="5" s="1"/>
  <c r="E63" i="5" s="1" a="1"/>
  <c r="E63" i="5" s="1"/>
  <c r="C63" i="5" a="1"/>
  <c r="C63" i="5" s="1"/>
  <c r="J63" i="5" s="1" a="1"/>
  <c r="J63" i="5" s="1"/>
  <c r="A64" i="5"/>
  <c r="B64" i="5" s="1" a="1"/>
  <c r="B64" i="5" s="1"/>
  <c r="C64" i="5" a="1"/>
  <c r="C64" i="5" s="1"/>
  <c r="J64" i="5" s="1" a="1"/>
  <c r="J64" i="5" s="1"/>
  <c r="G64" i="5" a="1"/>
  <c r="G64" i="5" s="1"/>
  <c r="A65" i="5"/>
  <c r="B65" i="5" a="1"/>
  <c r="B65" i="5"/>
  <c r="E65" i="5" a="1"/>
  <c r="E65" i="5" s="1"/>
  <c r="A66" i="5"/>
  <c r="B66" i="5" a="1"/>
  <c r="B66" i="5"/>
  <c r="G66" i="5" s="1" a="1"/>
  <c r="G66" i="5" s="1"/>
  <c r="A67" i="5"/>
  <c r="B67" i="5" a="1"/>
  <c r="B67" i="5" s="1"/>
  <c r="A68" i="5"/>
  <c r="B68" i="5" s="1" a="1"/>
  <c r="B68" i="5"/>
  <c r="C68" i="5" a="1"/>
  <c r="C68" i="5" s="1"/>
  <c r="J68" i="5" s="1" a="1"/>
  <c r="J68" i="5" s="1"/>
  <c r="E68" i="5" a="1"/>
  <c r="E68" i="5" s="1"/>
  <c r="G68" i="5" a="1"/>
  <c r="G68" i="5" s="1"/>
  <c r="A69" i="5"/>
  <c r="B69" i="5" a="1"/>
  <c r="B69" i="5" s="1"/>
  <c r="A70" i="5"/>
  <c r="B70" i="5" a="1"/>
  <c r="B70" i="5" s="1"/>
  <c r="F70" i="5" a="1"/>
  <c r="F70" i="5" s="1"/>
  <c r="A71" i="5"/>
  <c r="B71" i="5" s="1" a="1"/>
  <c r="B71" i="5" s="1"/>
  <c r="A72" i="5"/>
  <c r="B72" i="5" a="1"/>
  <c r="B72" i="5" s="1"/>
  <c r="G72" i="5" s="1" a="1"/>
  <c r="G72" i="5" s="1"/>
  <c r="A73" i="5"/>
  <c r="B73" i="5" a="1"/>
  <c r="B73" i="5" s="1"/>
  <c r="D73" i="5" s="1" a="1"/>
  <c r="D73" i="5" s="1"/>
  <c r="AB73" i="5" s="1"/>
  <c r="F73" i="5" a="1"/>
  <c r="F73" i="5" s="1"/>
  <c r="A74" i="5"/>
  <c r="B74" i="5" a="1"/>
  <c r="B74" i="5"/>
  <c r="E74" i="5" a="1"/>
  <c r="E74" i="5" s="1"/>
  <c r="H74" i="5" a="1"/>
  <c r="H74" i="5" s="1"/>
  <c r="A75" i="5"/>
  <c r="B75" i="5" s="1" a="1"/>
  <c r="B75" i="5" s="1"/>
  <c r="G75" i="5" a="1"/>
  <c r="G75" i="5" s="1"/>
  <c r="A76" i="5"/>
  <c r="B76" i="5" a="1"/>
  <c r="B76" i="5" s="1"/>
  <c r="D76" i="5" a="1"/>
  <c r="D76" i="5" s="1"/>
  <c r="AB76" i="5"/>
  <c r="A77" i="5"/>
  <c r="B77" i="5" a="1"/>
  <c r="B77" i="5" s="1"/>
  <c r="C77" i="5" s="1" a="1"/>
  <c r="C77" i="5" s="1"/>
  <c r="J77" i="5" s="1" a="1"/>
  <c r="J77" i="5" s="1"/>
  <c r="D77" i="5" a="1"/>
  <c r="D77" i="5" s="1"/>
  <c r="AB77" i="5" s="1"/>
  <c r="H77" i="5" a="1"/>
  <c r="H77" i="5" s="1"/>
  <c r="A78" i="5"/>
  <c r="B78" i="5" a="1"/>
  <c r="B78" i="5" s="1"/>
  <c r="A79" i="5"/>
  <c r="B79" i="5" a="1"/>
  <c r="B79" i="5" s="1"/>
  <c r="H79" i="5" a="1"/>
  <c r="H79" i="5" s="1"/>
  <c r="A80" i="5"/>
  <c r="B80" i="5" a="1"/>
  <c r="B80" i="5" s="1"/>
  <c r="A81" i="5"/>
  <c r="B81" i="5" s="1" a="1"/>
  <c r="B81" i="5" s="1"/>
  <c r="F81" i="5" a="1"/>
  <c r="F81" i="5" s="1"/>
  <c r="S81" i="5"/>
  <c r="A82" i="5"/>
  <c r="B82" i="5" a="1"/>
  <c r="B82" i="5" s="1"/>
  <c r="C82" i="5" a="1"/>
  <c r="C82" i="5" s="1"/>
  <c r="J82" i="5" s="1" a="1"/>
  <c r="D82" i="5" a="1"/>
  <c r="D82" i="5"/>
  <c r="AB82" i="5" s="1"/>
  <c r="F82" i="5" a="1"/>
  <c r="F82" i="5" s="1"/>
  <c r="AA82" i="5" s="1"/>
  <c r="J82" i="5"/>
  <c r="S82" i="5"/>
  <c r="AC82" i="5"/>
  <c r="A83" i="5"/>
  <c r="B83" i="5" a="1"/>
  <c r="B83" i="5" s="1"/>
  <c r="H83" i="5" s="1" a="1"/>
  <c r="H83" i="5" s="1"/>
  <c r="A84" i="5"/>
  <c r="B84" i="5" s="1" a="1"/>
  <c r="B84" i="5" s="1"/>
  <c r="A85" i="5"/>
  <c r="B85" i="5" s="1" a="1"/>
  <c r="B85" i="5" s="1"/>
  <c r="A86" i="5"/>
  <c r="B86" i="5" a="1"/>
  <c r="B86" i="5" s="1"/>
  <c r="A87" i="5"/>
  <c r="B87" i="5" s="1" a="1"/>
  <c r="B87" i="5" s="1"/>
  <c r="A88" i="5"/>
  <c r="B88" i="5" a="1"/>
  <c r="B88" i="5"/>
  <c r="F88" i="5" s="1" a="1"/>
  <c r="F88" i="5" s="1"/>
  <c r="G88" i="5" a="1"/>
  <c r="G88" i="5" s="1"/>
  <c r="A89" i="5"/>
  <c r="B89" i="5" a="1"/>
  <c r="B89" i="5"/>
  <c r="E89" i="5" a="1"/>
  <c r="E89" i="5" s="1"/>
  <c r="F89" i="5" a="1"/>
  <c r="F89" i="5" s="1"/>
  <c r="H89" i="5" a="1"/>
  <c r="H89" i="5" s="1"/>
  <c r="A90" i="5"/>
  <c r="B90" i="5" s="1" a="1"/>
  <c r="B90" i="5" s="1"/>
  <c r="G90" i="5" s="1" a="1"/>
  <c r="G90" i="5" s="1"/>
  <c r="A91" i="5"/>
  <c r="B91" i="5" a="1"/>
  <c r="B91" i="5" s="1"/>
  <c r="A92" i="5"/>
  <c r="B92" i="5" s="1" a="1"/>
  <c r="B92" i="5" s="1"/>
  <c r="G92" i="5" s="1" a="1"/>
  <c r="G92" i="5" s="1"/>
  <c r="A93" i="5"/>
  <c r="B93" i="5" s="1" a="1"/>
  <c r="B93" i="5" s="1"/>
  <c r="A94" i="5"/>
  <c r="B94" i="5" s="1" a="1"/>
  <c r="B94" i="5" s="1"/>
  <c r="D94" i="5" s="1" a="1"/>
  <c r="D94" i="5" s="1"/>
  <c r="AB94" i="5" s="1"/>
  <c r="A95" i="5"/>
  <c r="B95" i="5" s="1" a="1"/>
  <c r="B95" i="5" s="1"/>
  <c r="C95" i="5" s="1" a="1"/>
  <c r="C95" i="5" s="1"/>
  <c r="J95" i="5" s="1" a="1"/>
  <c r="J95" i="5" s="1"/>
  <c r="A96" i="5"/>
  <c r="B96" i="5" a="1"/>
  <c r="B96" i="5"/>
  <c r="H96" i="5" a="1"/>
  <c r="H96" i="5" s="1"/>
  <c r="A97" i="5"/>
  <c r="B97" i="5" a="1"/>
  <c r="B97" i="5" s="1"/>
  <c r="A98" i="5"/>
  <c r="B98" i="5" s="1" a="1"/>
  <c r="B98" i="5" s="1"/>
  <c r="E98" i="5" s="1" a="1"/>
  <c r="E98" i="5" s="1"/>
  <c r="A99" i="5"/>
  <c r="B99" i="5" a="1"/>
  <c r="B99" i="5"/>
  <c r="A100" i="5"/>
  <c r="B100" i="5" a="1"/>
  <c r="B100" i="5" s="1"/>
  <c r="E100" i="5" s="1" a="1"/>
  <c r="E100" i="5" s="1"/>
  <c r="H100" i="5" a="1"/>
  <c r="H100" i="5" s="1"/>
  <c r="A101" i="5"/>
  <c r="B101" i="5" s="1" a="1"/>
  <c r="B101" i="5" s="1"/>
  <c r="D101" i="5" a="1"/>
  <c r="D101" i="5" s="1"/>
  <c r="AB101" i="5" s="1"/>
  <c r="A102" i="5"/>
  <c r="B102" i="5" a="1"/>
  <c r="B102" i="5" s="1"/>
  <c r="D102" i="5" s="1" a="1"/>
  <c r="D102" i="5" s="1"/>
  <c r="AB102" i="5" s="1"/>
  <c r="H102" i="5" a="1"/>
  <c r="H102" i="5" s="1"/>
  <c r="A103" i="5"/>
  <c r="B103" i="5" s="1" a="1"/>
  <c r="B103" i="5" s="1"/>
  <c r="A104" i="5"/>
  <c r="B104" i="5" s="1" a="1"/>
  <c r="B104" i="5"/>
  <c r="G104" i="5" s="1" a="1"/>
  <c r="G104" i="5" s="1"/>
  <c r="C104" i="5" a="1"/>
  <c r="C104" i="5" s="1"/>
  <c r="J104" i="5" s="1" a="1"/>
  <c r="J104" i="5" s="1"/>
  <c r="E104" i="5" a="1"/>
  <c r="E104" i="5" s="1"/>
  <c r="F104" i="5" a="1"/>
  <c r="F104" i="5" s="1"/>
  <c r="AA104" i="5" s="1"/>
  <c r="A105" i="5"/>
  <c r="B105" i="5" a="1"/>
  <c r="B105" i="5" s="1"/>
  <c r="A106" i="5"/>
  <c r="B106" i="5" a="1"/>
  <c r="B106" i="5"/>
  <c r="F106" i="5" s="1" a="1"/>
  <c r="F106" i="5" s="1"/>
  <c r="AA106" i="5" s="1"/>
  <c r="C106" i="5" a="1"/>
  <c r="C106" i="5"/>
  <c r="J106" i="5" s="1" a="1"/>
  <c r="J106" i="5" s="1"/>
  <c r="D106" i="5" a="1"/>
  <c r="D106" i="5"/>
  <c r="E106" i="5" a="1"/>
  <c r="E106" i="5" s="1"/>
  <c r="G106" i="5" a="1"/>
  <c r="G106" i="5" s="1"/>
  <c r="I106" i="5" s="1"/>
  <c r="H106" i="5" a="1"/>
  <c r="H106" i="5" s="1"/>
  <c r="S106" i="5"/>
  <c r="AB106" i="5"/>
  <c r="AC106" i="5"/>
  <c r="A107" i="5"/>
  <c r="B107" i="5" a="1"/>
  <c r="B107" i="5" s="1"/>
  <c r="E107" i="5" s="1" a="1"/>
  <c r="E107" i="5" s="1"/>
  <c r="A108" i="5"/>
  <c r="B108" i="5" s="1" a="1"/>
  <c r="B108" i="5" s="1"/>
  <c r="G108" i="5" s="1" a="1"/>
  <c r="G108" i="5" s="1"/>
  <c r="A109" i="5"/>
  <c r="B109" i="5" a="1"/>
  <c r="B109" i="5" s="1"/>
  <c r="D109" i="5" s="1" a="1"/>
  <c r="D109" i="5" s="1"/>
  <c r="AB109" i="5" s="1"/>
  <c r="A110" i="5"/>
  <c r="B110" i="5" a="1"/>
  <c r="B110" i="5"/>
  <c r="A111" i="5"/>
  <c r="B111" i="5" s="1" a="1"/>
  <c r="B111" i="5" s="1"/>
  <c r="E111" i="5" a="1"/>
  <c r="E111" i="5" s="1"/>
  <c r="G111" i="5" a="1"/>
  <c r="G111" i="5"/>
  <c r="A112" i="5"/>
  <c r="B112" i="5" s="1" a="1"/>
  <c r="B112" i="5" s="1"/>
  <c r="A113" i="5"/>
  <c r="B113" i="5" s="1" a="1"/>
  <c r="B113" i="5" s="1"/>
  <c r="A114" i="5"/>
  <c r="B114" i="5" s="1" a="1"/>
  <c r="B114" i="5" s="1"/>
  <c r="A115" i="5"/>
  <c r="B115" i="5" a="1"/>
  <c r="B115" i="5"/>
  <c r="G115" i="5" s="1" a="1"/>
  <c r="G115" i="5" s="1"/>
  <c r="I115" i="5" s="1"/>
  <c r="C115" i="5" a="1"/>
  <c r="C115" i="5"/>
  <c r="J115" i="5" s="1" a="1"/>
  <c r="J115" i="5" s="1"/>
  <c r="D115" i="5" a="1"/>
  <c r="D115" i="5" s="1"/>
  <c r="AB115" i="5" s="1"/>
  <c r="E115" i="5" a="1"/>
  <c r="E115" i="5"/>
  <c r="H115" i="5" a="1"/>
  <c r="H115" i="5"/>
  <c r="A116" i="5"/>
  <c r="B116" i="5" s="1" a="1"/>
  <c r="B116" i="5" s="1"/>
  <c r="A117" i="5"/>
  <c r="B117" i="5" s="1" a="1"/>
  <c r="B117" i="5" s="1"/>
  <c r="A118" i="5"/>
  <c r="B118" i="5" a="1"/>
  <c r="B118" i="5"/>
  <c r="C118" i="5" a="1"/>
  <c r="C118" i="5" s="1"/>
  <c r="J118" i="5" s="1" a="1"/>
  <c r="J118" i="5" s="1"/>
  <c r="F118" i="5" a="1"/>
  <c r="F118" i="5" s="1"/>
  <c r="H118" i="5" a="1"/>
  <c r="H118" i="5" s="1"/>
  <c r="AA118" i="5"/>
  <c r="A119" i="5"/>
  <c r="B119" i="5" a="1"/>
  <c r="B119" i="5" s="1"/>
  <c r="D119" i="5" a="1"/>
  <c r="D119" i="5" s="1"/>
  <c r="AB119" i="5" s="1"/>
  <c r="E119" i="5" a="1"/>
  <c r="E119" i="5" s="1"/>
  <c r="G119" i="5" a="1"/>
  <c r="G119" i="5" s="1"/>
  <c r="A120" i="5"/>
  <c r="B120" i="5" a="1"/>
  <c r="B120" i="5" s="1"/>
  <c r="A121" i="5"/>
  <c r="B121" i="5" a="1"/>
  <c r="B121" i="5" s="1"/>
  <c r="C121" i="5" s="1" a="1"/>
  <c r="C121" i="5" s="1"/>
  <c r="J121" i="5" s="1" a="1"/>
  <c r="J121" i="5" s="1"/>
  <c r="A122" i="5"/>
  <c r="B122" i="5" a="1"/>
  <c r="B122" i="5"/>
  <c r="A123" i="5"/>
  <c r="B123" i="5" a="1"/>
  <c r="B123" i="5"/>
  <c r="D123" i="5" s="1" a="1"/>
  <c r="D123" i="5" s="1"/>
  <c r="AB123" i="5" s="1"/>
  <c r="E123" i="5" a="1"/>
  <c r="E123" i="5" s="1"/>
  <c r="G123" i="5" a="1"/>
  <c r="G123" i="5" s="1"/>
  <c r="A124" i="5"/>
  <c r="B124" i="5" a="1"/>
  <c r="B124" i="5" s="1"/>
  <c r="A125" i="5"/>
  <c r="B125" i="5" a="1"/>
  <c r="B125" i="5" s="1"/>
  <c r="C125" i="5" a="1"/>
  <c r="C125" i="5" s="1"/>
  <c r="J125" i="5" s="1" a="1"/>
  <c r="J125" i="5" s="1"/>
  <c r="N125" i="5" s="1" a="1"/>
  <c r="N125" i="5" s="1"/>
  <c r="D125" i="5" a="1"/>
  <c r="D125" i="5" s="1"/>
  <c r="AB125" i="5" s="1"/>
  <c r="H125" i="5" a="1"/>
  <c r="H125" i="5" s="1"/>
  <c r="A126" i="5"/>
  <c r="B126" i="5" s="1" a="1"/>
  <c r="B126" i="5" s="1"/>
  <c r="A127" i="5"/>
  <c r="B127" i="5" s="1" a="1"/>
  <c r="B127" i="5" s="1"/>
  <c r="A128" i="5"/>
  <c r="B128" i="5" a="1"/>
  <c r="B128" i="5" s="1"/>
  <c r="A129" i="5"/>
  <c r="B129" i="5" a="1"/>
  <c r="B129" i="5" s="1"/>
  <c r="G129" i="5" s="1" a="1"/>
  <c r="G129" i="5" s="1"/>
  <c r="A130" i="5"/>
  <c r="B130" i="5" s="1" a="1"/>
  <c r="B130" i="5" s="1"/>
  <c r="D130" i="5" s="1" a="1"/>
  <c r="D130" i="5" s="1"/>
  <c r="AB130" i="5" s="1"/>
  <c r="A131" i="5"/>
  <c r="B131" i="5" a="1"/>
  <c r="B131" i="5" s="1"/>
  <c r="D131" i="5" s="1" a="1"/>
  <c r="D131" i="5" s="1"/>
  <c r="AB131" i="5" s="1"/>
  <c r="A132" i="5"/>
  <c r="B132" i="5" s="1" a="1"/>
  <c r="B132" i="5" s="1"/>
  <c r="E132" i="5" s="1" a="1"/>
  <c r="E132" i="5" s="1"/>
  <c r="A133" i="5"/>
  <c r="B133" i="5" s="1" a="1"/>
  <c r="B133" i="5" s="1"/>
  <c r="A134" i="5"/>
  <c r="B134" i="5" a="1"/>
  <c r="B134" i="5"/>
  <c r="D134" i="5" s="1" a="1"/>
  <c r="D134" i="5" s="1"/>
  <c r="AB134" i="5" s="1"/>
  <c r="E134" i="5" a="1"/>
  <c r="E134" i="5"/>
  <c r="F134" i="5" a="1"/>
  <c r="F134" i="5" s="1"/>
  <c r="A135" i="5"/>
  <c r="B135" i="5" a="1"/>
  <c r="B135" i="5" s="1"/>
  <c r="E135" i="5" s="1" a="1"/>
  <c r="E135" i="5" s="1"/>
  <c r="A136" i="5"/>
  <c r="B136" i="5" s="1" a="1"/>
  <c r="B136" i="5" s="1"/>
  <c r="F136" i="5" a="1"/>
  <c r="F136" i="5"/>
  <c r="S136" i="5" s="1"/>
  <c r="A137" i="5"/>
  <c r="B137" i="5" s="1" a="1"/>
  <c r="B137" i="5" s="1"/>
  <c r="A138" i="5"/>
  <c r="B138" i="5" s="1" a="1"/>
  <c r="B138" i="5" s="1"/>
  <c r="A139" i="5"/>
  <c r="B139" i="5" a="1"/>
  <c r="B139" i="5" s="1"/>
  <c r="A140" i="5"/>
  <c r="B140" i="5" a="1"/>
  <c r="B140" i="5" s="1"/>
  <c r="A4" i="5"/>
  <c r="B4" i="5" a="1"/>
  <c r="B4" i="5" s="1"/>
  <c r="C43" i="6" l="1"/>
  <c r="F43" i="6"/>
  <c r="H43" i="6" s="1"/>
  <c r="C44" i="6"/>
  <c r="F44" i="6"/>
  <c r="H44" i="6" s="1"/>
  <c r="I42" i="6"/>
  <c r="G42" i="6"/>
  <c r="I41" i="6"/>
  <c r="G41" i="6"/>
  <c r="B50" i="8" a="1"/>
  <c r="B50" i="8" s="1"/>
  <c r="C50" i="8" a="1"/>
  <c r="C50" i="8" s="1"/>
  <c r="D50" i="8" a="1"/>
  <c r="D50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K50" i="8" a="1"/>
  <c r="K50" i="8" s="1"/>
  <c r="I58" i="8" a="1"/>
  <c r="I58" i="8" s="1"/>
  <c r="J58" i="8" a="1"/>
  <c r="J58" i="8" s="1"/>
  <c r="K58" i="8" a="1"/>
  <c r="K58" i="8" s="1"/>
  <c r="B58" i="8" a="1"/>
  <c r="B58" i="8" s="1"/>
  <c r="C58" i="8" a="1"/>
  <c r="C58" i="8" s="1"/>
  <c r="D58" i="8" a="1"/>
  <c r="D58" i="8" s="1"/>
  <c r="E58" i="8" a="1"/>
  <c r="E58" i="8" s="1"/>
  <c r="F58" i="8" a="1"/>
  <c r="F58" i="8" s="1"/>
  <c r="G58" i="8" a="1"/>
  <c r="G58" i="8" s="1"/>
  <c r="H58" i="8" a="1"/>
  <c r="H58" i="8" s="1"/>
  <c r="F63" i="8" a="1"/>
  <c r="F63" i="8" s="1"/>
  <c r="G63" i="8" a="1"/>
  <c r="G63" i="8" s="1"/>
  <c r="H63" i="8" a="1"/>
  <c r="H63" i="8" s="1"/>
  <c r="I63" i="8" a="1"/>
  <c r="I63" i="8" s="1"/>
  <c r="K63" i="8" a="1"/>
  <c r="K63" i="8" s="1"/>
  <c r="J63" i="8" a="1"/>
  <c r="J63" i="8" s="1"/>
  <c r="B63" i="8" a="1"/>
  <c r="B63" i="8" s="1"/>
  <c r="C63" i="8" a="1"/>
  <c r="C63" i="8" s="1"/>
  <c r="D63" i="8" a="1"/>
  <c r="D63" i="8" s="1"/>
  <c r="E63" i="8" a="1"/>
  <c r="E63" i="8" s="1"/>
  <c r="B74" i="8" a="1"/>
  <c r="B74" i="8" s="1"/>
  <c r="C74" i="8" a="1"/>
  <c r="C74" i="8" s="1"/>
  <c r="D74" i="8" a="1"/>
  <c r="D74" i="8" s="1"/>
  <c r="F74" i="8" a="1"/>
  <c r="F74" i="8" s="1"/>
  <c r="G74" i="8" a="1"/>
  <c r="G74" i="8" s="1"/>
  <c r="H74" i="8" a="1"/>
  <c r="H74" i="8" s="1"/>
  <c r="E74" i="8" a="1"/>
  <c r="E74" i="8" s="1"/>
  <c r="I74" i="8" a="1"/>
  <c r="I74" i="8" s="1"/>
  <c r="J74" i="8" a="1"/>
  <c r="J74" i="8" s="1"/>
  <c r="K74" i="8" a="1"/>
  <c r="K74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K34" i="8" a="1"/>
  <c r="K34" i="8" s="1"/>
  <c r="B34" i="8" a="1"/>
  <c r="B34" i="8" s="1"/>
  <c r="C34" i="8" a="1"/>
  <c r="C34" i="8" s="1"/>
  <c r="D34" i="8" a="1"/>
  <c r="D34" i="8" s="1"/>
  <c r="E34" i="8" a="1"/>
  <c r="E34" i="8" s="1"/>
  <c r="C42" i="8" a="1"/>
  <c r="C42" i="8" s="1"/>
  <c r="D42" i="8" a="1"/>
  <c r="D42" i="8" s="1"/>
  <c r="E42" i="8" a="1"/>
  <c r="E42" i="8" s="1"/>
  <c r="F42" i="8" a="1"/>
  <c r="F42" i="8" s="1"/>
  <c r="G42" i="8" a="1"/>
  <c r="G42" i="8" s="1"/>
  <c r="H42" i="8" a="1"/>
  <c r="H42" i="8" s="1"/>
  <c r="I42" i="8" a="1"/>
  <c r="I42" i="8" s="1"/>
  <c r="J42" i="8" a="1"/>
  <c r="J42" i="8" s="1"/>
  <c r="K42" i="8" a="1"/>
  <c r="K42" i="8" s="1"/>
  <c r="B42" i="8" a="1"/>
  <c r="B42" i="8" s="1"/>
  <c r="D79" i="8" a="1"/>
  <c r="D79" i="8" s="1"/>
  <c r="E79" i="8" a="1"/>
  <c r="E79" i="8" s="1"/>
  <c r="F79" i="8" a="1"/>
  <c r="F79" i="8" s="1"/>
  <c r="G79" i="8" a="1"/>
  <c r="G79" i="8" s="1"/>
  <c r="H79" i="8" a="1"/>
  <c r="H79" i="8" s="1"/>
  <c r="I79" i="8" a="1"/>
  <c r="I79" i="8" s="1"/>
  <c r="J79" i="8" a="1"/>
  <c r="J79" i="8" s="1"/>
  <c r="K79" i="8" a="1"/>
  <c r="K79" i="8" s="1"/>
  <c r="B79" i="8" a="1"/>
  <c r="B79" i="8" s="1"/>
  <c r="C79" i="8" a="1"/>
  <c r="C79" i="8" s="1"/>
  <c r="H71" i="8" a="1"/>
  <c r="H71" i="8" s="1"/>
  <c r="I71" i="8" a="1"/>
  <c r="I71" i="8" s="1"/>
  <c r="J71" i="8" a="1"/>
  <c r="J71" i="8" s="1"/>
  <c r="K71" i="8" a="1"/>
  <c r="K71" i="8" s="1"/>
  <c r="B71" i="8" a="1"/>
  <c r="B71" i="8" s="1"/>
  <c r="D71" i="8" a="1"/>
  <c r="D71" i="8" s="1"/>
  <c r="C71" i="8" a="1"/>
  <c r="C71" i="8" s="1"/>
  <c r="E71" i="8" a="1"/>
  <c r="E71" i="8" s="1"/>
  <c r="F71" i="8" a="1"/>
  <c r="F71" i="8" s="1"/>
  <c r="G71" i="8" a="1"/>
  <c r="G71" i="8" s="1"/>
  <c r="K66" i="8" a="1"/>
  <c r="K66" i="8" s="1"/>
  <c r="B66" i="8" a="1"/>
  <c r="B66" i="8" s="1"/>
  <c r="E66" i="8" a="1"/>
  <c r="E66" i="8" s="1"/>
  <c r="F66" i="8" a="1"/>
  <c r="F66" i="8" s="1"/>
  <c r="C66" i="8" a="1"/>
  <c r="C66" i="8" s="1"/>
  <c r="D66" i="8" a="1"/>
  <c r="D66" i="8" s="1"/>
  <c r="G66" i="8" a="1"/>
  <c r="G66" i="8" s="1"/>
  <c r="H66" i="8" a="1"/>
  <c r="H66" i="8" s="1"/>
  <c r="I66" i="8" a="1"/>
  <c r="I66" i="8" s="1"/>
  <c r="J66" i="8" a="1"/>
  <c r="J66" i="8" s="1"/>
  <c r="K73" i="8" a="1"/>
  <c r="K73" i="8" s="1"/>
  <c r="E70" i="8" a="1"/>
  <c r="E70" i="8" s="1"/>
  <c r="I65" i="8" a="1"/>
  <c r="I65" i="8" s="1"/>
  <c r="G64" i="8" a="1"/>
  <c r="G64" i="8" s="1"/>
  <c r="D62" i="8" a="1"/>
  <c r="D62" i="8" s="1"/>
  <c r="C78" i="8" a="1"/>
  <c r="C78" i="8" s="1"/>
  <c r="B77" i="8" a="1"/>
  <c r="B77" i="8" s="1"/>
  <c r="B76" i="8" a="1"/>
  <c r="B76" i="8" s="1"/>
  <c r="J73" i="8" a="1"/>
  <c r="J73" i="8" s="1"/>
  <c r="H65" i="8" a="1"/>
  <c r="H65" i="8" s="1"/>
  <c r="C62" i="8" a="1"/>
  <c r="C62" i="8" s="1"/>
  <c r="J59" i="8" a="1"/>
  <c r="J59" i="8" s="1"/>
  <c r="F57" i="8" a="1"/>
  <c r="F57" i="8" s="1"/>
  <c r="E56" i="8" a="1"/>
  <c r="E56" i="8" s="1"/>
  <c r="F52" i="8" a="1"/>
  <c r="F52" i="8" s="1"/>
  <c r="C51" i="8" a="1"/>
  <c r="C51" i="8" s="1"/>
  <c r="I44" i="8" a="1"/>
  <c r="I44" i="8" s="1"/>
  <c r="F43" i="8" a="1"/>
  <c r="F43" i="8" s="1"/>
  <c r="J40" i="8" a="1"/>
  <c r="J40" i="8" s="1"/>
  <c r="G39" i="8" a="1"/>
  <c r="G39" i="8" s="1"/>
  <c r="D38" i="8" a="1"/>
  <c r="D38" i="8" s="1"/>
  <c r="H35" i="8" a="1"/>
  <c r="H35" i="8" s="1"/>
  <c r="B33" i="8" a="1"/>
  <c r="B33" i="8" s="1"/>
  <c r="J31" i="8" a="1"/>
  <c r="J31" i="8" s="1"/>
  <c r="F30" i="8" a="1"/>
  <c r="F30" i="8" s="1"/>
  <c r="C29" i="8" a="1"/>
  <c r="C29" i="8" s="1"/>
  <c r="I73" i="8" a="1"/>
  <c r="I73" i="8" s="1"/>
  <c r="G72" i="8" a="1"/>
  <c r="G72" i="8" s="1"/>
  <c r="D70" i="8" a="1"/>
  <c r="D70" i="8" s="1"/>
  <c r="K67" i="8" a="1"/>
  <c r="K67" i="8" s="1"/>
  <c r="G65" i="8" a="1"/>
  <c r="G65" i="8" s="1"/>
  <c r="F64" i="8" a="1"/>
  <c r="F64" i="8" s="1"/>
  <c r="B62" i="8" a="1"/>
  <c r="B62" i="8" s="1"/>
  <c r="K60" i="8" a="1"/>
  <c r="K60" i="8" s="1"/>
  <c r="I59" i="8" a="1"/>
  <c r="I59" i="8" s="1"/>
  <c r="E57" i="8" a="1"/>
  <c r="E57" i="8" s="1"/>
  <c r="D56" i="8" a="1"/>
  <c r="D56" i="8" s="1"/>
  <c r="E52" i="8" a="1"/>
  <c r="E52" i="8" s="1"/>
  <c r="B51" i="8" a="1"/>
  <c r="B51" i="8" s="1"/>
  <c r="J49" i="8" a="1"/>
  <c r="J49" i="8" s="1"/>
  <c r="G48" i="8" a="1"/>
  <c r="G48" i="8" s="1"/>
  <c r="C47" i="8" a="1"/>
  <c r="C47" i="8" s="1"/>
  <c r="K45" i="8" a="1"/>
  <c r="K45" i="8" s="1"/>
  <c r="E43" i="8" a="1"/>
  <c r="E43" i="8" s="1"/>
  <c r="I40" i="8" a="1"/>
  <c r="I40" i="8" s="1"/>
  <c r="F39" i="8" a="1"/>
  <c r="F39" i="8" s="1"/>
  <c r="C38" i="8" a="1"/>
  <c r="C38" i="8" s="1"/>
  <c r="K36" i="8" a="1"/>
  <c r="K36" i="8" s="1"/>
  <c r="G35" i="8" a="1"/>
  <c r="G35" i="8" s="1"/>
  <c r="I31" i="8" a="1"/>
  <c r="I31" i="8" s="1"/>
  <c r="B29" i="8" a="1"/>
  <c r="B29" i="8" s="1"/>
  <c r="I24" i="8" a="1"/>
  <c r="I24" i="8" s="1"/>
  <c r="B24" i="8" a="1"/>
  <c r="B24" i="8" s="1"/>
  <c r="J24" i="8" a="1"/>
  <c r="J24" i="8" s="1"/>
  <c r="D24" i="8" a="1"/>
  <c r="D24" i="8" s="1"/>
  <c r="E24" i="8" a="1"/>
  <c r="E24" i="8" s="1"/>
  <c r="G24" i="8" a="1"/>
  <c r="G24" i="8" s="1"/>
  <c r="H40" i="8" a="1"/>
  <c r="H40" i="8" s="1"/>
  <c r="K76" i="8" a="1"/>
  <c r="K76" i="8" s="1"/>
  <c r="G73" i="8" a="1"/>
  <c r="G73" i="8" s="1"/>
  <c r="F72" i="8" a="1"/>
  <c r="F72" i="8" s="1"/>
  <c r="B70" i="8" a="1"/>
  <c r="B70" i="8" s="1"/>
  <c r="K68" i="8" a="1"/>
  <c r="K68" i="8" s="1"/>
  <c r="I67" i="8" a="1"/>
  <c r="I67" i="8" s="1"/>
  <c r="E65" i="8" a="1"/>
  <c r="E65" i="8" s="1"/>
  <c r="D64" i="8" a="1"/>
  <c r="D64" i="8" s="1"/>
  <c r="K61" i="8" a="1"/>
  <c r="K61" i="8" s="1"/>
  <c r="J60" i="8" a="1"/>
  <c r="J60" i="8" s="1"/>
  <c r="G59" i="8" a="1"/>
  <c r="G59" i="8" s="1"/>
  <c r="D57" i="8" a="1"/>
  <c r="D57" i="8" s="1"/>
  <c r="B56" i="8" a="1"/>
  <c r="B56" i="8" s="1"/>
  <c r="J54" i="8" a="1"/>
  <c r="J54" i="8" s="1"/>
  <c r="G53" i="8" a="1"/>
  <c r="G53" i="8" s="1"/>
  <c r="E48" i="8" a="1"/>
  <c r="E48" i="8" s="1"/>
  <c r="B47" i="8" a="1"/>
  <c r="B47" i="8" s="1"/>
  <c r="I45" i="8" a="1"/>
  <c r="I45" i="8" s="1"/>
  <c r="C43" i="8" a="1"/>
  <c r="C43" i="8" s="1"/>
  <c r="I36" i="8" a="1"/>
  <c r="I36" i="8" s="1"/>
  <c r="F35" i="8" a="1"/>
  <c r="F35" i="8" s="1"/>
  <c r="J32" i="8" a="1"/>
  <c r="J32" i="8" s="1"/>
  <c r="G31" i="8" a="1"/>
  <c r="G31" i="8" s="1"/>
  <c r="D30" i="8" a="1"/>
  <c r="D30" i="8" s="1"/>
  <c r="C26" i="8" a="1"/>
  <c r="C26" i="8" s="1"/>
  <c r="D26" i="8" a="1"/>
  <c r="D26" i="8" s="1"/>
  <c r="G26" i="8" a="1"/>
  <c r="G26" i="8" s="1"/>
  <c r="H67" i="8" a="1"/>
  <c r="H67" i="8" s="1"/>
  <c r="C64" i="8" a="1"/>
  <c r="C64" i="8" s="1"/>
  <c r="J61" i="8" a="1"/>
  <c r="J61" i="8" s="1"/>
  <c r="I54" i="8" a="1"/>
  <c r="I54" i="8" s="1"/>
  <c r="F53" i="8" a="1"/>
  <c r="F53" i="8" s="1"/>
  <c r="C52" i="8" a="1"/>
  <c r="C52" i="8" s="1"/>
  <c r="D48" i="8" a="1"/>
  <c r="D48" i="8" s="1"/>
  <c r="B43" i="8" a="1"/>
  <c r="B43" i="8" s="1"/>
  <c r="J41" i="8" a="1"/>
  <c r="J41" i="8" s="1"/>
  <c r="G40" i="8" a="1"/>
  <c r="G40" i="8" s="1"/>
  <c r="C39" i="8" a="1"/>
  <c r="C39" i="8" s="1"/>
  <c r="K37" i="8" a="1"/>
  <c r="K37" i="8" s="1"/>
  <c r="H36" i="8" a="1"/>
  <c r="H36" i="8" s="1"/>
  <c r="E35" i="8" a="1"/>
  <c r="E35" i="8" s="1"/>
  <c r="I32" i="8" a="1"/>
  <c r="I32" i="8" s="1"/>
  <c r="F31" i="8" a="1"/>
  <c r="F31" i="8" s="1"/>
  <c r="C30" i="8" a="1"/>
  <c r="C30" i="8" s="1"/>
  <c r="I61" i="8" a="1"/>
  <c r="I61" i="8" s="1"/>
  <c r="C57" i="8" a="1"/>
  <c r="C57" i="8" s="1"/>
  <c r="B52" i="8" a="1"/>
  <c r="B52" i="8" s="1"/>
  <c r="F40" i="8" a="1"/>
  <c r="F40" i="8" s="1"/>
  <c r="D35" i="8" a="1"/>
  <c r="D35" i="8" s="1"/>
  <c r="H32" i="8" a="1"/>
  <c r="H32" i="8" s="1"/>
  <c r="E31" i="8" a="1"/>
  <c r="E31" i="8" s="1"/>
  <c r="B30" i="8" a="1"/>
  <c r="B30" i="8" s="1"/>
  <c r="K62" i="8" a="1"/>
  <c r="K62" i="8" s="1"/>
  <c r="B57" i="8" a="1"/>
  <c r="B57" i="8" s="1"/>
  <c r="B48" i="8" a="1"/>
  <c r="B48" i="8" s="1"/>
  <c r="J46" i="8" a="1"/>
  <c r="J46" i="8" s="1"/>
  <c r="G45" i="8" a="1"/>
  <c r="G45" i="8" s="1"/>
  <c r="E40" i="8" a="1"/>
  <c r="E40" i="8" s="1"/>
  <c r="C35" i="8" a="1"/>
  <c r="C35" i="8" s="1"/>
  <c r="K51" i="8" a="1"/>
  <c r="K51" i="8" s="1"/>
  <c r="I46" i="8" a="1"/>
  <c r="I46" i="8" s="1"/>
  <c r="F45" i="8" a="1"/>
  <c r="F45" i="8" s="1"/>
  <c r="D40" i="8" a="1"/>
  <c r="D40" i="8" s="1"/>
  <c r="E36" i="8" a="1"/>
  <c r="E36" i="8" s="1"/>
  <c r="B35" i="8" a="1"/>
  <c r="B35" i="8" s="1"/>
  <c r="J33" i="8" a="1"/>
  <c r="J33" i="8" s="1"/>
  <c r="G32" i="8" a="1"/>
  <c r="G32" i="8" s="1"/>
  <c r="C31" i="8" a="1"/>
  <c r="C31" i="8" s="1"/>
  <c r="K29" i="8" a="1"/>
  <c r="K29" i="8" s="1"/>
  <c r="J62" i="8" a="1"/>
  <c r="J62" i="8" s="1"/>
  <c r="I78" i="8" a="1"/>
  <c r="I78" i="8" s="1"/>
  <c r="H77" i="8" a="1"/>
  <c r="H77" i="8" s="1"/>
  <c r="K70" i="8" a="1"/>
  <c r="K70" i="8" s="1"/>
  <c r="G68" i="8" a="1"/>
  <c r="G68" i="8" s="1"/>
  <c r="B65" i="8" a="1"/>
  <c r="B65" i="8" s="1"/>
  <c r="I62" i="8" a="1"/>
  <c r="I62" i="8" s="1"/>
  <c r="E60" i="8" a="1"/>
  <c r="E60" i="8" s="1"/>
  <c r="D59" i="8" a="1"/>
  <c r="D59" i="8" s="1"/>
  <c r="K56" i="8" a="1"/>
  <c r="K56" i="8" s="1"/>
  <c r="I55" i="8" a="1"/>
  <c r="I55" i="8" s="1"/>
  <c r="B53" i="8" a="1"/>
  <c r="B53" i="8" s="1"/>
  <c r="J51" i="8" a="1"/>
  <c r="J51" i="8" s="1"/>
  <c r="H46" i="8" a="1"/>
  <c r="H46" i="8" s="1"/>
  <c r="E45" i="8" a="1"/>
  <c r="E45" i="8" s="1"/>
  <c r="C40" i="8" a="1"/>
  <c r="C40" i="8" s="1"/>
  <c r="I33" i="8" a="1"/>
  <c r="I33" i="8" s="1"/>
  <c r="F32" i="8" a="1"/>
  <c r="F32" i="8" s="1"/>
  <c r="J29" i="8" a="1"/>
  <c r="J29" i="8" s="1"/>
  <c r="D23" i="8" a="1"/>
  <c r="D23" i="8" s="1"/>
  <c r="E23" i="8" a="1"/>
  <c r="E23" i="8" s="1"/>
  <c r="G23" i="8" a="1"/>
  <c r="G23" i="8" s="1"/>
  <c r="H23" i="8" a="1"/>
  <c r="H23" i="8" s="1"/>
  <c r="B23" i="8" a="1"/>
  <c r="B23" i="8" s="1"/>
  <c r="J23" i="8" a="1"/>
  <c r="J23" i="8" s="1"/>
  <c r="K77" i="8" a="1"/>
  <c r="K77" i="8" s="1"/>
  <c r="J75" i="8" a="1"/>
  <c r="J75" i="8" s="1"/>
  <c r="F73" i="8" a="1"/>
  <c r="F73" i="8" s="1"/>
  <c r="K78" i="8" a="1"/>
  <c r="K78" i="8" s="1"/>
  <c r="E73" i="8" a="1"/>
  <c r="E73" i="8" s="1"/>
  <c r="H62" i="8" a="1"/>
  <c r="H62" i="8" s="1"/>
  <c r="G61" i="8" a="1"/>
  <c r="G61" i="8" s="1"/>
  <c r="D60" i="8" a="1"/>
  <c r="D60" i="8" s="1"/>
  <c r="J56" i="8" a="1"/>
  <c r="J56" i="8" s="1"/>
  <c r="H55" i="8" a="1"/>
  <c r="H55" i="8" s="1"/>
  <c r="E54" i="8" a="1"/>
  <c r="E54" i="8" s="1"/>
  <c r="I51" i="8" a="1"/>
  <c r="I51" i="8" s="1"/>
  <c r="G46" i="8" a="1"/>
  <c r="G46" i="8" s="1"/>
  <c r="D45" i="8" a="1"/>
  <c r="D45" i="8" s="1"/>
  <c r="E41" i="8" a="1"/>
  <c r="E41" i="8" s="1"/>
  <c r="B40" i="8" a="1"/>
  <c r="B40" i="8" s="1"/>
  <c r="J38" i="8" a="1"/>
  <c r="J38" i="8" s="1"/>
  <c r="G37" i="8" a="1"/>
  <c r="G37" i="8" s="1"/>
  <c r="H33" i="8" a="1"/>
  <c r="H33" i="8" s="1"/>
  <c r="E32" i="8" a="1"/>
  <c r="E32" i="8" s="1"/>
  <c r="B31" i="8" a="1"/>
  <c r="B31" i="8" s="1"/>
  <c r="I29" i="8" a="1"/>
  <c r="I29" i="8" s="1"/>
  <c r="K75" i="8" a="1"/>
  <c r="K75" i="8" s="1"/>
  <c r="H73" i="8" a="1"/>
  <c r="H73" i="8" s="1"/>
  <c r="C70" i="8" a="1"/>
  <c r="C70" i="8" s="1"/>
  <c r="E64" i="8" a="1"/>
  <c r="E64" i="8" s="1"/>
  <c r="J77" i="8" a="1"/>
  <c r="J77" i="8" s="1"/>
  <c r="I75" i="8" a="1"/>
  <c r="I75" i="8" s="1"/>
  <c r="G67" i="8" a="1"/>
  <c r="G67" i="8" s="1"/>
  <c r="B64" i="8" a="1"/>
  <c r="B64" i="8" s="1"/>
  <c r="J78" i="8" a="1"/>
  <c r="J78" i="8" s="1"/>
  <c r="I77" i="8" a="1"/>
  <c r="I77" i="8" s="1"/>
  <c r="I76" i="8" a="1"/>
  <c r="I76" i="8" s="1"/>
  <c r="H75" i="8" a="1"/>
  <c r="H75" i="8" s="1"/>
  <c r="H76" i="8" a="1"/>
  <c r="H76" i="8" s="1"/>
  <c r="G75" i="8" a="1"/>
  <c r="G75" i="8" s="1"/>
  <c r="D73" i="8" a="1"/>
  <c r="D73" i="8" s="1"/>
  <c r="F67" i="8" a="1"/>
  <c r="F67" i="8" s="1"/>
  <c r="C65" i="8" a="1"/>
  <c r="C65" i="8" s="1"/>
  <c r="H61" i="8" a="1"/>
  <c r="H61" i="8" s="1"/>
  <c r="H78" i="8" a="1"/>
  <c r="H78" i="8" s="1"/>
  <c r="G76" i="8" a="1"/>
  <c r="G76" i="8" s="1"/>
  <c r="F75" i="8" a="1"/>
  <c r="F75" i="8" s="1"/>
  <c r="C73" i="8" a="1"/>
  <c r="C73" i="8" s="1"/>
  <c r="J70" i="8" a="1"/>
  <c r="J70" i="8" s="1"/>
  <c r="F68" i="8" a="1"/>
  <c r="F68" i="8" s="1"/>
  <c r="E67" i="8" a="1"/>
  <c r="E67" i="8" s="1"/>
  <c r="G78" i="8" a="1"/>
  <c r="G78" i="8" s="1"/>
  <c r="G77" i="8" a="1"/>
  <c r="G77" i="8" s="1"/>
  <c r="F76" i="8" a="1"/>
  <c r="F76" i="8" s="1"/>
  <c r="I70" i="8" a="1"/>
  <c r="I70" i="8" s="1"/>
  <c r="E68" i="8" a="1"/>
  <c r="E68" i="8" s="1"/>
  <c r="D67" i="8" a="1"/>
  <c r="D67" i="8" s="1"/>
  <c r="K64" i="8" a="1"/>
  <c r="K64" i="8" s="1"/>
  <c r="G62" i="8" a="1"/>
  <c r="G62" i="8" s="1"/>
  <c r="F61" i="8" a="1"/>
  <c r="F61" i="8" s="1"/>
  <c r="I56" i="8" a="1"/>
  <c r="I56" i="8" s="1"/>
  <c r="H51" i="8" a="1"/>
  <c r="H51" i="8" s="1"/>
  <c r="K43" i="8" a="1"/>
  <c r="K43" i="8" s="1"/>
  <c r="I38" i="8" a="1"/>
  <c r="I38" i="8" s="1"/>
  <c r="F78" i="8" a="1"/>
  <c r="F78" i="8" s="1"/>
  <c r="F77" i="8" a="1"/>
  <c r="F77" i="8" s="1"/>
  <c r="E75" i="8" a="1"/>
  <c r="E75" i="8" s="1"/>
  <c r="J64" i="8" a="1"/>
  <c r="J64" i="8" s="1"/>
  <c r="F62" i="8" a="1"/>
  <c r="F62" i="8" s="1"/>
  <c r="E61" i="8" a="1"/>
  <c r="E61" i="8" s="1"/>
  <c r="C60" i="8" a="1"/>
  <c r="C60" i="8" s="1"/>
  <c r="K57" i="8" a="1"/>
  <c r="K57" i="8" s="1"/>
  <c r="H56" i="8" a="1"/>
  <c r="H56" i="8" s="1"/>
  <c r="F55" i="8" a="1"/>
  <c r="F55" i="8" s="1"/>
  <c r="K52" i="8" a="1"/>
  <c r="K52" i="8" s="1"/>
  <c r="G51" i="8" a="1"/>
  <c r="G51" i="8" s="1"/>
  <c r="I47" i="8" a="1"/>
  <c r="I47" i="8" s="1"/>
  <c r="J43" i="8" a="1"/>
  <c r="J43" i="8" s="1"/>
  <c r="D41" i="8" a="1"/>
  <c r="D41" i="8" s="1"/>
  <c r="K39" i="8" a="1"/>
  <c r="K39" i="8" s="1"/>
  <c r="H38" i="8" a="1"/>
  <c r="H38" i="8" s="1"/>
  <c r="E37" i="8" a="1"/>
  <c r="E37" i="8" s="1"/>
  <c r="F33" i="8" a="1"/>
  <c r="F33" i="8" s="1"/>
  <c r="C32" i="8" a="1"/>
  <c r="C32" i="8" s="1"/>
  <c r="K30" i="8" a="1"/>
  <c r="K30" i="8" s="1"/>
  <c r="H29" i="8" a="1"/>
  <c r="H29" i="8" s="1"/>
  <c r="K26" i="8" a="1"/>
  <c r="K26" i="8" s="1"/>
  <c r="F25" i="8" a="1"/>
  <c r="F25" i="8" s="1"/>
  <c r="G25" i="8" a="1"/>
  <c r="G25" i="8" s="1"/>
  <c r="B25" i="8" a="1"/>
  <c r="B25" i="8" s="1"/>
  <c r="J25" i="8" a="1"/>
  <c r="J25" i="8" s="1"/>
  <c r="D25" i="8" a="1"/>
  <c r="D25" i="8" s="1"/>
  <c r="H70" i="8" a="1"/>
  <c r="H70" i="8" s="1"/>
  <c r="D68" i="8" a="1"/>
  <c r="D68" i="8" s="1"/>
  <c r="C67" i="8" a="1"/>
  <c r="C67" i="8" s="1"/>
  <c r="E77" i="8" a="1"/>
  <c r="E77" i="8" s="1"/>
  <c r="D76" i="8" a="1"/>
  <c r="D76" i="8" s="1"/>
  <c r="D75" i="8" a="1"/>
  <c r="D75" i="8" s="1"/>
  <c r="K72" i="8" a="1"/>
  <c r="K72" i="8" s="1"/>
  <c r="G70" i="8" a="1"/>
  <c r="G70" i="8" s="1"/>
  <c r="F69" i="8" a="1"/>
  <c r="F69" i="8" s="1"/>
  <c r="I64" i="8" a="1"/>
  <c r="I64" i="8" s="1"/>
  <c r="D61" i="8" a="1"/>
  <c r="D61" i="8" s="1"/>
  <c r="J57" i="8" a="1"/>
  <c r="J57" i="8" s="1"/>
  <c r="J52" i="8" a="1"/>
  <c r="J52" i="8" s="1"/>
  <c r="K48" i="8" a="1"/>
  <c r="K48" i="8" s="1"/>
  <c r="I43" i="8" a="1"/>
  <c r="I43" i="8" s="1"/>
  <c r="G38" i="8" a="1"/>
  <c r="G38" i="8" s="1"/>
  <c r="E33" i="8" a="1"/>
  <c r="E33" i="8" s="1"/>
  <c r="J30" i="8" a="1"/>
  <c r="J30" i="8" s="1"/>
  <c r="G29" i="8" a="1"/>
  <c r="G29" i="8" s="1"/>
  <c r="J26" i="8" a="1"/>
  <c r="J26" i="8" s="1"/>
  <c r="K24" i="8" a="1"/>
  <c r="K24" i="8" s="1"/>
  <c r="G22" i="8" a="1"/>
  <c r="G22" i="8" s="1"/>
  <c r="H22" i="8" a="1"/>
  <c r="H22" i="8" s="1"/>
  <c r="B22" i="8" a="1"/>
  <c r="B22" i="8" s="1"/>
  <c r="J22" i="8" a="1"/>
  <c r="J22" i="8" s="1"/>
  <c r="C22" i="8" a="1"/>
  <c r="C22" i="8" s="1"/>
  <c r="K22" i="8" a="1"/>
  <c r="K22" i="8" s="1"/>
  <c r="D22" i="8" a="1"/>
  <c r="D22" i="8" s="1"/>
  <c r="E22" i="8" a="1"/>
  <c r="E22" i="8" s="1"/>
  <c r="E78" i="8" a="1"/>
  <c r="E78" i="8" s="1"/>
  <c r="C75" i="8" a="1"/>
  <c r="C75" i="8" s="1"/>
  <c r="K65" i="8" a="1"/>
  <c r="K65" i="8" s="1"/>
  <c r="C61" i="8" a="1"/>
  <c r="C61" i="8" s="1"/>
  <c r="I57" i="8" a="1"/>
  <c r="I57" i="8" s="1"/>
  <c r="G56" i="8" a="1"/>
  <c r="G56" i="8" s="1"/>
  <c r="I52" i="8" a="1"/>
  <c r="I52" i="8" s="1"/>
  <c r="F51" i="8" a="1"/>
  <c r="F51" i="8" s="1"/>
  <c r="J48" i="8" a="1"/>
  <c r="J48" i="8" s="1"/>
  <c r="G47" i="8" a="1"/>
  <c r="G47" i="8" s="1"/>
  <c r="D46" i="8" a="1"/>
  <c r="D46" i="8" s="1"/>
  <c r="H43" i="8" a="1"/>
  <c r="H43" i="8" s="1"/>
  <c r="J39" i="8" a="1"/>
  <c r="J39" i="8" s="1"/>
  <c r="F38" i="8" a="1"/>
  <c r="F38" i="8" s="1"/>
  <c r="K35" i="8" a="1"/>
  <c r="K35" i="8" s="1"/>
  <c r="I30" i="8" a="1"/>
  <c r="I30" i="8" s="1"/>
  <c r="F29" i="8" a="1"/>
  <c r="F29" i="8" s="1"/>
  <c r="H24" i="8" a="1"/>
  <c r="H24" i="8" s="1"/>
  <c r="J72" i="8" a="1"/>
  <c r="J72" i="8" s="1"/>
  <c r="D77" i="8" a="1"/>
  <c r="D77" i="8" s="1"/>
  <c r="H57" i="8" a="1"/>
  <c r="H57" i="8" s="1"/>
  <c r="H52" i="8" a="1"/>
  <c r="H52" i="8" s="1"/>
  <c r="E51" i="8" a="1"/>
  <c r="E51" i="8" s="1"/>
  <c r="I48" i="8" a="1"/>
  <c r="I48" i="8" s="1"/>
  <c r="F47" i="8" a="1"/>
  <c r="F47" i="8" s="1"/>
  <c r="C46" i="8" a="1"/>
  <c r="C46" i="8" s="1"/>
  <c r="I39" i="8" a="1"/>
  <c r="I39" i="8" s="1"/>
  <c r="J35" i="8" a="1"/>
  <c r="J35" i="8" s="1"/>
  <c r="D33" i="8" a="1"/>
  <c r="D33" i="8" s="1"/>
  <c r="H30" i="8" a="1"/>
  <c r="H30" i="8" s="1"/>
  <c r="E29" i="8" a="1"/>
  <c r="E29" i="8" s="1"/>
  <c r="I26" i="8" a="1"/>
  <c r="I26" i="8" s="1"/>
  <c r="H26" i="8" a="1"/>
  <c r="H26" i="8" s="1"/>
  <c r="F24" i="8" a="1"/>
  <c r="F24" i="8" s="1"/>
  <c r="B21" i="8" a="1"/>
  <c r="B21" i="8" s="1"/>
  <c r="J21" i="8" a="1"/>
  <c r="J21" i="8" s="1"/>
  <c r="C21" i="8" a="1"/>
  <c r="C21" i="8" s="1"/>
  <c r="K21" i="8" a="1"/>
  <c r="K21" i="8" s="1"/>
  <c r="D21" i="8" a="1"/>
  <c r="D21" i="8" s="1"/>
  <c r="E21" i="8" a="1"/>
  <c r="E21" i="8" s="1"/>
  <c r="F21" i="8" a="1"/>
  <c r="F21" i="8" s="1"/>
  <c r="G21" i="8" a="1"/>
  <c r="G21" i="8" s="1"/>
  <c r="H21" i="8" a="1"/>
  <c r="H21" i="8" s="1"/>
  <c r="K20" i="8" a="1"/>
  <c r="K20" i="8" s="1"/>
  <c r="B20" i="8" a="1"/>
  <c r="B20" i="8" s="1"/>
  <c r="J20" i="8" a="1"/>
  <c r="J20" i="8" s="1"/>
  <c r="C20" i="8" a="1"/>
  <c r="C20" i="8" s="1"/>
  <c r="D20" i="8" a="1"/>
  <c r="D20" i="8" s="1"/>
  <c r="E20" i="8" a="1"/>
  <c r="E20" i="8" s="1"/>
  <c r="F20" i="8" a="1"/>
  <c r="F20" i="8" s="1"/>
  <c r="G20" i="8" a="1"/>
  <c r="G20" i="8" s="1"/>
  <c r="H20" i="8" a="1"/>
  <c r="H20" i="8" s="1"/>
  <c r="I20" i="8" a="1"/>
  <c r="I20" i="8" s="1"/>
  <c r="F42" i="7" a="1"/>
  <c r="F42" i="7" s="1"/>
  <c r="G42" i="7" a="1"/>
  <c r="G42" i="7" s="1"/>
  <c r="H42" i="7" a="1"/>
  <c r="H42" i="7" s="1"/>
  <c r="I42" i="7" a="1"/>
  <c r="I42" i="7" s="1"/>
  <c r="K42" i="7" a="1"/>
  <c r="K42" i="7" s="1"/>
  <c r="B42" i="7" a="1"/>
  <c r="B42" i="7" s="1"/>
  <c r="L42" i="7" a="1"/>
  <c r="L42" i="7" s="1"/>
  <c r="C42" i="7" a="1"/>
  <c r="C42" i="7" s="1"/>
  <c r="D42" i="7" a="1"/>
  <c r="D42" i="7" s="1"/>
  <c r="M42" i="7" a="1"/>
  <c r="M42" i="7" s="1"/>
  <c r="E42" i="7" a="1"/>
  <c r="E42" i="7" s="1"/>
  <c r="D24" i="7" a="1"/>
  <c r="D24" i="7" s="1"/>
  <c r="E24" i="7" a="1"/>
  <c r="E24" i="7" s="1"/>
  <c r="F24" i="7" a="1"/>
  <c r="F24" i="7" s="1"/>
  <c r="G24" i="7" a="1"/>
  <c r="G24" i="7" s="1"/>
  <c r="H24" i="7" a="1"/>
  <c r="H24" i="7" s="1"/>
  <c r="I24" i="7" a="1"/>
  <c r="I24" i="7" s="1"/>
  <c r="J24" i="7" a="1"/>
  <c r="J24" i="7" s="1"/>
  <c r="K24" i="7" a="1"/>
  <c r="K24" i="7" s="1"/>
  <c r="B24" i="7" a="1"/>
  <c r="B24" i="7" s="1"/>
  <c r="L24" i="7" a="1"/>
  <c r="L24" i="7" s="1"/>
  <c r="C24" i="7" a="1"/>
  <c r="C24" i="7" s="1"/>
  <c r="M24" i="7" a="1"/>
  <c r="M24" i="7" s="1"/>
  <c r="B73" i="7" a="1"/>
  <c r="B73" i="7" s="1"/>
  <c r="J73" i="7" a="1"/>
  <c r="J73" i="7" s="1"/>
  <c r="E73" i="7" a="1"/>
  <c r="E73" i="7" s="1"/>
  <c r="M73" i="7" a="1"/>
  <c r="M73" i="7" s="1"/>
  <c r="G73" i="7" a="1"/>
  <c r="G73" i="7" s="1"/>
  <c r="M71" i="7" a="1"/>
  <c r="M71" i="7" s="1"/>
  <c r="M70" i="7" a="1"/>
  <c r="M70" i="7" s="1"/>
  <c r="L69" i="7" a="1"/>
  <c r="L69" i="7" s="1"/>
  <c r="H58" i="7" a="1"/>
  <c r="H58" i="7" s="1"/>
  <c r="M62" i="7" a="1"/>
  <c r="M62" i="7" s="1"/>
  <c r="E62" i="7" a="1"/>
  <c r="E62" i="7" s="1"/>
  <c r="F62" i="7" a="1"/>
  <c r="F62" i="7" s="1"/>
  <c r="G62" i="7" a="1"/>
  <c r="G62" i="7" s="1"/>
  <c r="H62" i="7" a="1"/>
  <c r="H62" i="7" s="1"/>
  <c r="J62" i="7" a="1"/>
  <c r="J62" i="7" s="1"/>
  <c r="B62" i="7" a="1"/>
  <c r="B62" i="7" s="1"/>
  <c r="C62" i="7" a="1"/>
  <c r="C62" i="7" s="1"/>
  <c r="L62" i="7" a="1"/>
  <c r="L62" i="7" s="1"/>
  <c r="F56" i="7" a="1"/>
  <c r="F56" i="7" s="1"/>
  <c r="G56" i="7" a="1"/>
  <c r="G56" i="7" s="1"/>
  <c r="H56" i="7" a="1"/>
  <c r="H56" i="7" s="1"/>
  <c r="I56" i="7" a="1"/>
  <c r="I56" i="7" s="1"/>
  <c r="B56" i="7" a="1"/>
  <c r="B56" i="7" s="1"/>
  <c r="K56" i="7" a="1"/>
  <c r="K56" i="7" s="1"/>
  <c r="C56" i="7" a="1"/>
  <c r="C56" i="7" s="1"/>
  <c r="D56" i="7" a="1"/>
  <c r="D56" i="7" s="1"/>
  <c r="M56" i="7" a="1"/>
  <c r="M56" i="7" s="1"/>
  <c r="E56" i="7" a="1"/>
  <c r="E56" i="7" s="1"/>
  <c r="I65" i="7" a="1"/>
  <c r="I65" i="7" s="1"/>
  <c r="J65" i="7" a="1"/>
  <c r="J65" i="7" s="1"/>
  <c r="B65" i="7" a="1"/>
  <c r="B65" i="7" s="1"/>
  <c r="C65" i="7" a="1"/>
  <c r="C65" i="7" s="1"/>
  <c r="L65" i="7" a="1"/>
  <c r="L65" i="7" s="1"/>
  <c r="G65" i="7" a="1"/>
  <c r="G65" i="7" s="1"/>
  <c r="L61" i="7" a="1"/>
  <c r="L61" i="7" s="1"/>
  <c r="M55" i="7" a="1"/>
  <c r="M55" i="7" s="1"/>
  <c r="K51" i="7" a="1"/>
  <c r="K51" i="7" s="1"/>
  <c r="C51" i="7" a="1"/>
  <c r="C51" i="7" s="1"/>
  <c r="L51" i="7" a="1"/>
  <c r="L51" i="7" s="1"/>
  <c r="D51" i="7" a="1"/>
  <c r="D51" i="7" s="1"/>
  <c r="M51" i="7" a="1"/>
  <c r="M51" i="7" s="1"/>
  <c r="F51" i="7" a="1"/>
  <c r="F51" i="7" s="1"/>
  <c r="H51" i="7" a="1"/>
  <c r="H51" i="7" s="1"/>
  <c r="J51" i="7" a="1"/>
  <c r="J51" i="7" s="1"/>
  <c r="C45" i="7" a="1"/>
  <c r="C45" i="7" s="1"/>
  <c r="D45" i="7" a="1"/>
  <c r="D45" i="7" s="1"/>
  <c r="M45" i="7" a="1"/>
  <c r="M45" i="7" s="1"/>
  <c r="E45" i="7" a="1"/>
  <c r="E45" i="7" s="1"/>
  <c r="F45" i="7" a="1"/>
  <c r="F45" i="7" s="1"/>
  <c r="G45" i="7" a="1"/>
  <c r="G45" i="7" s="1"/>
  <c r="I45" i="7" a="1"/>
  <c r="I45" i="7" s="1"/>
  <c r="B45" i="7" a="1"/>
  <c r="B45" i="7" s="1"/>
  <c r="K45" i="7" a="1"/>
  <c r="K45" i="7" s="1"/>
  <c r="J55" i="7" a="1"/>
  <c r="J55" i="7" s="1"/>
  <c r="H48" i="7" a="1"/>
  <c r="H48" i="7" s="1"/>
  <c r="I48" i="7" a="1"/>
  <c r="I48" i="7" s="1"/>
  <c r="J48" i="7" a="1"/>
  <c r="J48" i="7" s="1"/>
  <c r="B48" i="7" a="1"/>
  <c r="B48" i="7" s="1"/>
  <c r="K48" i="7" a="1"/>
  <c r="K48" i="7" s="1"/>
  <c r="L48" i="7" a="1"/>
  <c r="L48" i="7" s="1"/>
  <c r="D48" i="7" a="1"/>
  <c r="D48" i="7" s="1"/>
  <c r="M48" i="7" a="1"/>
  <c r="M48" i="7" s="1"/>
  <c r="E48" i="7" a="1"/>
  <c r="E48" i="7" s="1"/>
  <c r="F48" i="7" a="1"/>
  <c r="F48" i="7" s="1"/>
  <c r="F58" i="7" a="1"/>
  <c r="F58" i="7" s="1"/>
  <c r="G58" i="7" a="1"/>
  <c r="G58" i="7" s="1"/>
  <c r="I58" i="7" a="1"/>
  <c r="I58" i="7" s="1"/>
  <c r="J58" i="7" a="1"/>
  <c r="J58" i="7" s="1"/>
  <c r="B58" i="7" a="1"/>
  <c r="B58" i="7" s="1"/>
  <c r="K58" i="7" a="1"/>
  <c r="K58" i="7" s="1"/>
  <c r="C58" i="7" a="1"/>
  <c r="C58" i="7" s="1"/>
  <c r="D58" i="7" a="1"/>
  <c r="D58" i="7" s="1"/>
  <c r="M58" i="7" a="1"/>
  <c r="M58" i="7" s="1"/>
  <c r="H55" i="7" a="1"/>
  <c r="H55" i="7" s="1"/>
  <c r="B53" i="7" a="1"/>
  <c r="B53" i="7" s="1"/>
  <c r="K53" i="7" a="1"/>
  <c r="K53" i="7" s="1"/>
  <c r="C53" i="7" a="1"/>
  <c r="C53" i="7" s="1"/>
  <c r="L53" i="7" a="1"/>
  <c r="L53" i="7" s="1"/>
  <c r="D53" i="7" a="1"/>
  <c r="D53" i="7" s="1"/>
  <c r="M53" i="7" a="1"/>
  <c r="M53" i="7" s="1"/>
  <c r="F53" i="7" a="1"/>
  <c r="F53" i="7" s="1"/>
  <c r="G53" i="7" a="1"/>
  <c r="G53" i="7" s="1"/>
  <c r="H53" i="7" a="1"/>
  <c r="H53" i="7" s="1"/>
  <c r="I53" i="7" a="1"/>
  <c r="I53" i="7" s="1"/>
  <c r="G72" i="7" a="1"/>
  <c r="G72" i="7" s="1"/>
  <c r="B72" i="7" a="1"/>
  <c r="B72" i="7" s="1"/>
  <c r="J72" i="7" a="1"/>
  <c r="J72" i="7" s="1"/>
  <c r="D72" i="7" a="1"/>
  <c r="D72" i="7" s="1"/>
  <c r="L72" i="7" a="1"/>
  <c r="L72" i="7" s="1"/>
  <c r="M69" i="7" a="1"/>
  <c r="M69" i="7" s="1"/>
  <c r="L73" i="7" a="1"/>
  <c r="L73" i="7" s="1"/>
  <c r="K72" i="7" a="1"/>
  <c r="K72" i="7" s="1"/>
  <c r="D66" i="7" a="1"/>
  <c r="D66" i="7" s="1"/>
  <c r="M66" i="7" a="1"/>
  <c r="M66" i="7" s="1"/>
  <c r="F66" i="7" a="1"/>
  <c r="F66" i="7" s="1"/>
  <c r="G66" i="7" a="1"/>
  <c r="G66" i="7" s="1"/>
  <c r="B66" i="7" a="1"/>
  <c r="B66" i="7" s="1"/>
  <c r="K66" i="7" a="1"/>
  <c r="K66" i="7" s="1"/>
  <c r="C66" i="7" a="1"/>
  <c r="C66" i="7" s="1"/>
  <c r="E61" i="7" a="1"/>
  <c r="E61" i="7" s="1"/>
  <c r="J47" i="7" a="1"/>
  <c r="J47" i="7" s="1"/>
  <c r="B31" i="7" a="1"/>
  <c r="B31" i="7" s="1"/>
  <c r="C31" i="7" a="1"/>
  <c r="C31" i="7" s="1"/>
  <c r="M31" i="7" a="1"/>
  <c r="M31" i="7" s="1"/>
  <c r="D31" i="7" a="1"/>
  <c r="D31" i="7" s="1"/>
  <c r="E31" i="7" a="1"/>
  <c r="E31" i="7" s="1"/>
  <c r="F31" i="7" a="1"/>
  <c r="F31" i="7" s="1"/>
  <c r="G31" i="7" a="1"/>
  <c r="G31" i="7" s="1"/>
  <c r="H31" i="7" a="1"/>
  <c r="H31" i="7" s="1"/>
  <c r="I31" i="7" a="1"/>
  <c r="I31" i="7" s="1"/>
  <c r="J31" i="7" a="1"/>
  <c r="J31" i="7" s="1"/>
  <c r="K31" i="7" a="1"/>
  <c r="K31" i="7" s="1"/>
  <c r="L31" i="7" a="1"/>
  <c r="L31" i="7" s="1"/>
  <c r="D73" i="7" a="1"/>
  <c r="D73" i="7" s="1"/>
  <c r="C72" i="7" a="1"/>
  <c r="C72" i="7" s="1"/>
  <c r="D71" i="7" a="1"/>
  <c r="D71" i="7" s="1"/>
  <c r="L71" i="7" a="1"/>
  <c r="L71" i="7" s="1"/>
  <c r="G71" i="7" a="1"/>
  <c r="G71" i="7" s="1"/>
  <c r="I71" i="7" a="1"/>
  <c r="I71" i="7" s="1"/>
  <c r="I70" i="7" a="1"/>
  <c r="I70" i="7" s="1"/>
  <c r="D70" i="7" a="1"/>
  <c r="D70" i="7" s="1"/>
  <c r="L70" i="7" a="1"/>
  <c r="L70" i="7" s="1"/>
  <c r="F70" i="7" a="1"/>
  <c r="F70" i="7" s="1"/>
  <c r="J71" i="7" a="1"/>
  <c r="J71" i="7" s="1"/>
  <c r="J70" i="7" a="1"/>
  <c r="J70" i="7" s="1"/>
  <c r="J69" i="7" a="1"/>
  <c r="J69" i="7" s="1"/>
  <c r="G61" i="7" a="1"/>
  <c r="G61" i="7" s="1"/>
  <c r="K73" i="7" a="1"/>
  <c r="K73" i="7" s="1"/>
  <c r="H70" i="7" a="1"/>
  <c r="H70" i="7" s="1"/>
  <c r="H69" i="7" a="1"/>
  <c r="H69" i="7" s="1"/>
  <c r="M52" i="7" a="1"/>
  <c r="M52" i="7" s="1"/>
  <c r="C18" i="7" a="1"/>
  <c r="C18" i="7" s="1"/>
  <c r="K18" i="7" a="1"/>
  <c r="K18" i="7" s="1"/>
  <c r="E18" i="7" a="1"/>
  <c r="E18" i="7" s="1"/>
  <c r="M18" i="7" a="1"/>
  <c r="M18" i="7" s="1"/>
  <c r="G18" i="7" a="1"/>
  <c r="G18" i="7" s="1"/>
  <c r="H18" i="7" a="1"/>
  <c r="H18" i="7" s="1"/>
  <c r="I18" i="7" a="1"/>
  <c r="I18" i="7" s="1"/>
  <c r="J18" i="7" a="1"/>
  <c r="J18" i="7" s="1"/>
  <c r="L18" i="7" a="1"/>
  <c r="L18" i="7" s="1"/>
  <c r="B18" i="7" a="1"/>
  <c r="B18" i="7" s="1"/>
  <c r="D18" i="7" a="1"/>
  <c r="D18" i="7" s="1"/>
  <c r="F18" i="7" a="1"/>
  <c r="F18" i="7" s="1"/>
  <c r="B55" i="7" a="1"/>
  <c r="B55" i="7" s="1"/>
  <c r="K55" i="7" a="1"/>
  <c r="K55" i="7" s="1"/>
  <c r="C55" i="7" a="1"/>
  <c r="C55" i="7" s="1"/>
  <c r="L55" i="7" a="1"/>
  <c r="L55" i="7" s="1"/>
  <c r="D55" i="7" a="1"/>
  <c r="D55" i="7" s="1"/>
  <c r="E55" i="7" a="1"/>
  <c r="E55" i="7" s="1"/>
  <c r="G55" i="7" a="1"/>
  <c r="G55" i="7" s="1"/>
  <c r="I55" i="7" a="1"/>
  <c r="I55" i="7" s="1"/>
  <c r="K52" i="7" a="1"/>
  <c r="K52" i="7" s="1"/>
  <c r="M37" i="7" a="1"/>
  <c r="M37" i="7" s="1"/>
  <c r="C37" i="7" a="1"/>
  <c r="C37" i="7" s="1"/>
  <c r="D37" i="7" a="1"/>
  <c r="D37" i="7" s="1"/>
  <c r="E37" i="7" a="1"/>
  <c r="E37" i="7" s="1"/>
  <c r="F37" i="7" a="1"/>
  <c r="F37" i="7" s="1"/>
  <c r="G37" i="7" a="1"/>
  <c r="G37" i="7" s="1"/>
  <c r="H37" i="7" a="1"/>
  <c r="H37" i="7" s="1"/>
  <c r="I37" i="7" a="1"/>
  <c r="I37" i="7" s="1"/>
  <c r="J37" i="7" a="1"/>
  <c r="J37" i="7" s="1"/>
  <c r="K37" i="7" a="1"/>
  <c r="K37" i="7" s="1"/>
  <c r="B37" i="7" a="1"/>
  <c r="B37" i="7" s="1"/>
  <c r="L37" i="7" a="1"/>
  <c r="L37" i="7" s="1"/>
  <c r="L47" i="7" a="1"/>
  <c r="L47" i="7" s="1"/>
  <c r="D47" i="7" a="1"/>
  <c r="D47" i="7" s="1"/>
  <c r="M47" i="7" a="1"/>
  <c r="M47" i="7" s="1"/>
  <c r="E47" i="7" a="1"/>
  <c r="E47" i="7" s="1"/>
  <c r="F47" i="7" a="1"/>
  <c r="F47" i="7" s="1"/>
  <c r="G47" i="7" a="1"/>
  <c r="G47" i="7" s="1"/>
  <c r="H47" i="7" a="1"/>
  <c r="H47" i="7" s="1"/>
  <c r="I47" i="7" a="1"/>
  <c r="I47" i="7" s="1"/>
  <c r="B47" i="7" a="1"/>
  <c r="B47" i="7" s="1"/>
  <c r="K47" i="7" a="1"/>
  <c r="K47" i="7" s="1"/>
  <c r="E16" i="7" a="1"/>
  <c r="E16" i="7" s="1"/>
  <c r="M16" i="7" a="1"/>
  <c r="M16" i="7" s="1"/>
  <c r="F16" i="7" a="1"/>
  <c r="F16" i="7" s="1"/>
  <c r="G16" i="7" a="1"/>
  <c r="G16" i="7" s="1"/>
  <c r="D16" i="7" a="1"/>
  <c r="D16" i="7" s="1"/>
  <c r="H16" i="7" a="1"/>
  <c r="H16" i="7" s="1"/>
  <c r="I16" i="7" a="1"/>
  <c r="I16" i="7" s="1"/>
  <c r="J16" i="7" a="1"/>
  <c r="J16" i="7" s="1"/>
  <c r="K16" i="7" a="1"/>
  <c r="K16" i="7" s="1"/>
  <c r="L16" i="7" a="1"/>
  <c r="L16" i="7" s="1"/>
  <c r="B16" i="7" a="1"/>
  <c r="B16" i="7" s="1"/>
  <c r="C16" i="7" a="1"/>
  <c r="C16" i="7" s="1"/>
  <c r="H57" i="7" a="1"/>
  <c r="H57" i="7" s="1"/>
  <c r="M60" i="7" a="1"/>
  <c r="M60" i="7" s="1"/>
  <c r="H73" i="7" a="1"/>
  <c r="H73" i="7" s="1"/>
  <c r="F71" i="7" a="1"/>
  <c r="F71" i="7" s="1"/>
  <c r="G50" i="7" a="1"/>
  <c r="G50" i="7" s="1"/>
  <c r="H50" i="7" a="1"/>
  <c r="H50" i="7" s="1"/>
  <c r="I50" i="7" a="1"/>
  <c r="I50" i="7" s="1"/>
  <c r="J50" i="7" a="1"/>
  <c r="J50" i="7" s="1"/>
  <c r="B50" i="7" a="1"/>
  <c r="B50" i="7" s="1"/>
  <c r="K50" i="7" a="1"/>
  <c r="K50" i="7" s="1"/>
  <c r="L50" i="7" a="1"/>
  <c r="L50" i="7" s="1"/>
  <c r="D50" i="7" a="1"/>
  <c r="D50" i="7" s="1"/>
  <c r="M50" i="7" a="1"/>
  <c r="M50" i="7" s="1"/>
  <c r="F50" i="7" a="1"/>
  <c r="F50" i="7" s="1"/>
  <c r="C40" i="7" a="1"/>
  <c r="C40" i="7" s="1"/>
  <c r="M40" i="7" a="1"/>
  <c r="M40" i="7" s="1"/>
  <c r="D40" i="7" a="1"/>
  <c r="D40" i="7" s="1"/>
  <c r="E40" i="7" a="1"/>
  <c r="E40" i="7" s="1"/>
  <c r="F40" i="7" a="1"/>
  <c r="F40" i="7" s="1"/>
  <c r="G40" i="7" a="1"/>
  <c r="G40" i="7" s="1"/>
  <c r="H40" i="7" a="1"/>
  <c r="H40" i="7" s="1"/>
  <c r="I40" i="7" a="1"/>
  <c r="I40" i="7" s="1"/>
  <c r="J40" i="7" a="1"/>
  <c r="J40" i="7" s="1"/>
  <c r="K40" i="7" a="1"/>
  <c r="K40" i="7" s="1"/>
  <c r="B40" i="7" a="1"/>
  <c r="B40" i="7" s="1"/>
  <c r="F36" i="7" a="1"/>
  <c r="F36" i="7" s="1"/>
  <c r="G36" i="7" a="1"/>
  <c r="G36" i="7" s="1"/>
  <c r="H36" i="7" a="1"/>
  <c r="H36" i="7" s="1"/>
  <c r="I36" i="7" a="1"/>
  <c r="I36" i="7" s="1"/>
  <c r="J36" i="7" a="1"/>
  <c r="J36" i="7" s="1"/>
  <c r="K36" i="7" a="1"/>
  <c r="K36" i="7" s="1"/>
  <c r="B36" i="7" a="1"/>
  <c r="B36" i="7" s="1"/>
  <c r="L36" i="7" a="1"/>
  <c r="L36" i="7" s="1"/>
  <c r="C36" i="7" a="1"/>
  <c r="C36" i="7" s="1"/>
  <c r="M36" i="7" a="1"/>
  <c r="M36" i="7" s="1"/>
  <c r="D36" i="7" a="1"/>
  <c r="D36" i="7" s="1"/>
  <c r="E36" i="7" a="1"/>
  <c r="E36" i="7" s="1"/>
  <c r="J57" i="7" a="1"/>
  <c r="J57" i="7" s="1"/>
  <c r="B57" i="7" a="1"/>
  <c r="B57" i="7" s="1"/>
  <c r="K57" i="7" a="1"/>
  <c r="K57" i="7" s="1"/>
  <c r="C57" i="7" a="1"/>
  <c r="C57" i="7" s="1"/>
  <c r="L57" i="7" a="1"/>
  <c r="L57" i="7" s="1"/>
  <c r="M57" i="7" a="1"/>
  <c r="M57" i="7" s="1"/>
  <c r="E57" i="7" a="1"/>
  <c r="E57" i="7" s="1"/>
  <c r="F57" i="7" a="1"/>
  <c r="F57" i="7" s="1"/>
  <c r="G57" i="7" a="1"/>
  <c r="G57" i="7" s="1"/>
  <c r="I57" i="7" a="1"/>
  <c r="I57" i="7" s="1"/>
  <c r="I54" i="7" a="1"/>
  <c r="I54" i="7" s="1"/>
  <c r="K49" i="7" a="1"/>
  <c r="K49" i="7" s="1"/>
  <c r="J35" i="7" a="1"/>
  <c r="J35" i="7" s="1"/>
  <c r="K35" i="7" a="1"/>
  <c r="K35" i="7" s="1"/>
  <c r="B35" i="7" a="1"/>
  <c r="B35" i="7" s="1"/>
  <c r="L35" i="7" a="1"/>
  <c r="L35" i="7" s="1"/>
  <c r="C35" i="7" a="1"/>
  <c r="C35" i="7" s="1"/>
  <c r="M35" i="7" a="1"/>
  <c r="M35" i="7" s="1"/>
  <c r="D35" i="7" a="1"/>
  <c r="D35" i="7" s="1"/>
  <c r="E35" i="7" a="1"/>
  <c r="E35" i="7" s="1"/>
  <c r="F35" i="7" a="1"/>
  <c r="F35" i="7" s="1"/>
  <c r="G35" i="7" a="1"/>
  <c r="G35" i="7" s="1"/>
  <c r="H35" i="7" a="1"/>
  <c r="H35" i="7" s="1"/>
  <c r="I35" i="7" a="1"/>
  <c r="I35" i="7" s="1"/>
  <c r="F69" i="7" a="1"/>
  <c r="F69" i="7" s="1"/>
  <c r="I69" i="7" a="1"/>
  <c r="I69" i="7" s="1"/>
  <c r="C69" i="7" a="1"/>
  <c r="C69" i="7" s="1"/>
  <c r="K69" i="7" a="1"/>
  <c r="K69" i="7" s="1"/>
  <c r="I72" i="7" a="1"/>
  <c r="I72" i="7" s="1"/>
  <c r="H71" i="7" a="1"/>
  <c r="H71" i="7" s="1"/>
  <c r="G69" i="7" a="1"/>
  <c r="G69" i="7" s="1"/>
  <c r="I61" i="7" a="1"/>
  <c r="I61" i="7" s="1"/>
  <c r="J61" i="7" a="1"/>
  <c r="J61" i="7" s="1"/>
  <c r="B61" i="7" a="1"/>
  <c r="B61" i="7" s="1"/>
  <c r="K61" i="7" a="1"/>
  <c r="K61" i="7" s="1"/>
  <c r="D61" i="7" a="1"/>
  <c r="D61" i="7" s="1"/>
  <c r="M61" i="7" a="1"/>
  <c r="M61" i="7" s="1"/>
  <c r="F61" i="7" a="1"/>
  <c r="F61" i="7" s="1"/>
  <c r="H61" i="7" a="1"/>
  <c r="H61" i="7" s="1"/>
  <c r="I73" i="7" a="1"/>
  <c r="I73" i="7" s="1"/>
  <c r="F72" i="7" a="1"/>
  <c r="F72" i="7" s="1"/>
  <c r="E71" i="7" a="1"/>
  <c r="E71" i="7" s="1"/>
  <c r="E70" i="7" a="1"/>
  <c r="E70" i="7" s="1"/>
  <c r="D69" i="7" a="1"/>
  <c r="D69" i="7" s="1"/>
  <c r="K65" i="7" a="1"/>
  <c r="K65" i="7" s="1"/>
  <c r="K62" i="7" a="1"/>
  <c r="K62" i="7" s="1"/>
  <c r="E72" i="7" a="1"/>
  <c r="E72" i="7" s="1"/>
  <c r="H67" i="7" a="1"/>
  <c r="H67" i="7" s="1"/>
  <c r="C67" i="7" a="1"/>
  <c r="C67" i="7" s="1"/>
  <c r="K67" i="7" a="1"/>
  <c r="K67" i="7" s="1"/>
  <c r="E67" i="7" a="1"/>
  <c r="E67" i="7" s="1"/>
  <c r="M67" i="7" a="1"/>
  <c r="M67" i="7" s="1"/>
  <c r="F67" i="7" a="1"/>
  <c r="F67" i="7" s="1"/>
  <c r="D64" i="7" a="1"/>
  <c r="D64" i="7" s="1"/>
  <c r="M64" i="7" a="1"/>
  <c r="M64" i="7" s="1"/>
  <c r="E64" i="7" a="1"/>
  <c r="E64" i="7" s="1"/>
  <c r="F64" i="7" a="1"/>
  <c r="F64" i="7" s="1"/>
  <c r="H64" i="7" a="1"/>
  <c r="H64" i="7" s="1"/>
  <c r="J64" i="7" a="1"/>
  <c r="J64" i="7" s="1"/>
  <c r="K64" i="7" a="1"/>
  <c r="K64" i="7" s="1"/>
  <c r="C64" i="7" a="1"/>
  <c r="C64" i="7" s="1"/>
  <c r="L56" i="7" a="1"/>
  <c r="L56" i="7" s="1"/>
  <c r="H29" i="7" a="1"/>
  <c r="H29" i="7" s="1"/>
  <c r="I29" i="7" a="1"/>
  <c r="I29" i="7" s="1"/>
  <c r="J29" i="7" a="1"/>
  <c r="J29" i="7" s="1"/>
  <c r="K29" i="7" a="1"/>
  <c r="K29" i="7" s="1"/>
  <c r="B29" i="7" a="1"/>
  <c r="B29" i="7" s="1"/>
  <c r="L29" i="7" a="1"/>
  <c r="L29" i="7" s="1"/>
  <c r="M29" i="7" a="1"/>
  <c r="M29" i="7" s="1"/>
  <c r="C29" i="7" a="1"/>
  <c r="C29" i="7" s="1"/>
  <c r="D29" i="7" a="1"/>
  <c r="D29" i="7" s="1"/>
  <c r="E29" i="7" a="1"/>
  <c r="E29" i="7" s="1"/>
  <c r="F29" i="7" a="1"/>
  <c r="F29" i="7" s="1"/>
  <c r="G29" i="7" a="1"/>
  <c r="G29" i="7" s="1"/>
  <c r="F21" i="7" a="1"/>
  <c r="F21" i="7" s="1"/>
  <c r="C21" i="7" a="1"/>
  <c r="C21" i="7" s="1"/>
  <c r="D21" i="7" a="1"/>
  <c r="D21" i="7" s="1"/>
  <c r="E21" i="7" a="1"/>
  <c r="E21" i="7" s="1"/>
  <c r="G21" i="7" a="1"/>
  <c r="G21" i="7" s="1"/>
  <c r="H21" i="7" a="1"/>
  <c r="H21" i="7" s="1"/>
  <c r="I21" i="7" a="1"/>
  <c r="I21" i="7" s="1"/>
  <c r="J21" i="7" a="1"/>
  <c r="J21" i="7" s="1"/>
  <c r="K21" i="7" a="1"/>
  <c r="K21" i="7" s="1"/>
  <c r="L21" i="7" a="1"/>
  <c r="L21" i="7" s="1"/>
  <c r="B21" i="7" a="1"/>
  <c r="B21" i="7" s="1"/>
  <c r="M21" i="7" a="1"/>
  <c r="M21" i="7" s="1"/>
  <c r="G52" i="7" a="1"/>
  <c r="G52" i="7" s="1"/>
  <c r="H52" i="7" a="1"/>
  <c r="H52" i="7" s="1"/>
  <c r="I52" i="7" a="1"/>
  <c r="I52" i="7" s="1"/>
  <c r="J52" i="7" a="1"/>
  <c r="J52" i="7" s="1"/>
  <c r="B52" i="7" a="1"/>
  <c r="B52" i="7" s="1"/>
  <c r="C52" i="7" a="1"/>
  <c r="C52" i="7" s="1"/>
  <c r="L52" i="7" a="1"/>
  <c r="L52" i="7" s="1"/>
  <c r="D52" i="7" a="1"/>
  <c r="D52" i="7" s="1"/>
  <c r="E52" i="7" a="1"/>
  <c r="E52" i="7" s="1"/>
  <c r="B43" i="7" a="1"/>
  <c r="B43" i="7" s="1"/>
  <c r="K43" i="7" a="1"/>
  <c r="K43" i="7" s="1"/>
  <c r="C43" i="7" a="1"/>
  <c r="C43" i="7" s="1"/>
  <c r="L43" i="7" a="1"/>
  <c r="L43" i="7" s="1"/>
  <c r="D43" i="7" a="1"/>
  <c r="D43" i="7" s="1"/>
  <c r="M43" i="7" a="1"/>
  <c r="M43" i="7" s="1"/>
  <c r="E43" i="7" a="1"/>
  <c r="E43" i="7" s="1"/>
  <c r="F43" i="7" a="1"/>
  <c r="F43" i="7" s="1"/>
  <c r="H43" i="7" a="1"/>
  <c r="H43" i="7" s="1"/>
  <c r="I43" i="7" a="1"/>
  <c r="I43" i="7" s="1"/>
  <c r="J43" i="7" a="1"/>
  <c r="J43" i="7" s="1"/>
  <c r="G39" i="7" a="1"/>
  <c r="G39" i="7" s="1"/>
  <c r="H39" i="7" a="1"/>
  <c r="H39" i="7" s="1"/>
  <c r="I39" i="7" a="1"/>
  <c r="I39" i="7" s="1"/>
  <c r="J39" i="7" a="1"/>
  <c r="J39" i="7" s="1"/>
  <c r="K39" i="7" a="1"/>
  <c r="K39" i="7" s="1"/>
  <c r="B39" i="7" a="1"/>
  <c r="B39" i="7" s="1"/>
  <c r="C39" i="7" a="1"/>
  <c r="C39" i="7" s="1"/>
  <c r="M39" i="7" a="1"/>
  <c r="M39" i="7" s="1"/>
  <c r="D39" i="7" a="1"/>
  <c r="D39" i="7" s="1"/>
  <c r="E39" i="7" a="1"/>
  <c r="E39" i="7" s="1"/>
  <c r="G70" i="7" a="1"/>
  <c r="G70" i="7" s="1"/>
  <c r="H72" i="7" a="1"/>
  <c r="H72" i="7" s="1"/>
  <c r="F73" i="7" a="1"/>
  <c r="F73" i="7" s="1"/>
  <c r="C71" i="7" a="1"/>
  <c r="C71" i="7" s="1"/>
  <c r="C70" i="7" a="1"/>
  <c r="C70" i="7" s="1"/>
  <c r="H65" i="7" a="1"/>
  <c r="H65" i="7" s="1"/>
  <c r="I62" i="7" a="1"/>
  <c r="I62" i="7" s="1"/>
  <c r="J56" i="7" a="1"/>
  <c r="J56" i="7" s="1"/>
  <c r="B71" i="7" a="1"/>
  <c r="B71" i="7" s="1"/>
  <c r="B70" i="7" a="1"/>
  <c r="B70" i="7" s="1"/>
  <c r="B69" i="7" a="1"/>
  <c r="B69" i="7" s="1"/>
  <c r="C68" i="7" a="1"/>
  <c r="C68" i="7" s="1"/>
  <c r="K68" i="7" a="1"/>
  <c r="K68" i="7" s="1"/>
  <c r="F68" i="7" a="1"/>
  <c r="F68" i="7" s="1"/>
  <c r="H68" i="7" a="1"/>
  <c r="H68" i="7" s="1"/>
  <c r="L66" i="7" a="1"/>
  <c r="L66" i="7" s="1"/>
  <c r="F65" i="7" a="1"/>
  <c r="F65" i="7" s="1"/>
  <c r="H46" i="7" a="1"/>
  <c r="H46" i="7" s="1"/>
  <c r="I46" i="7" a="1"/>
  <c r="I46" i="7" s="1"/>
  <c r="J46" i="7" a="1"/>
  <c r="J46" i="7" s="1"/>
  <c r="B46" i="7" a="1"/>
  <c r="B46" i="7" s="1"/>
  <c r="K46" i="7" a="1"/>
  <c r="K46" i="7" s="1"/>
  <c r="C46" i="7" a="1"/>
  <c r="C46" i="7" s="1"/>
  <c r="D46" i="7" a="1"/>
  <c r="D46" i="7" s="1"/>
  <c r="M46" i="7" a="1"/>
  <c r="M46" i="7" s="1"/>
  <c r="E46" i="7" a="1"/>
  <c r="E46" i="7" s="1"/>
  <c r="F46" i="7" a="1"/>
  <c r="F46" i="7" s="1"/>
  <c r="G46" i="7" a="1"/>
  <c r="G46" i="7" s="1"/>
  <c r="C49" i="7" a="1"/>
  <c r="C49" i="7" s="1"/>
  <c r="L49" i="7" a="1"/>
  <c r="L49" i="7" s="1"/>
  <c r="D49" i="7" a="1"/>
  <c r="D49" i="7" s="1"/>
  <c r="M49" i="7" a="1"/>
  <c r="M49" i="7" s="1"/>
  <c r="E49" i="7" a="1"/>
  <c r="E49" i="7" s="1"/>
  <c r="F49" i="7" a="1"/>
  <c r="F49" i="7" s="1"/>
  <c r="H49" i="7" a="1"/>
  <c r="H49" i="7" s="1"/>
  <c r="I49" i="7" a="1"/>
  <c r="I49" i="7" s="1"/>
  <c r="J49" i="7" a="1"/>
  <c r="J49" i="7" s="1"/>
  <c r="B49" i="7" a="1"/>
  <c r="B49" i="7" s="1"/>
  <c r="L45" i="7" a="1"/>
  <c r="L45" i="7" s="1"/>
  <c r="J42" i="7" a="1"/>
  <c r="J42" i="7" s="1"/>
  <c r="E60" i="7" a="1"/>
  <c r="E60" i="7" s="1"/>
  <c r="F60" i="7" a="1"/>
  <c r="F60" i="7" s="1"/>
  <c r="G60" i="7" a="1"/>
  <c r="G60" i="7" s="1"/>
  <c r="H60" i="7" a="1"/>
  <c r="H60" i="7" s="1"/>
  <c r="I60" i="7" a="1"/>
  <c r="I60" i="7" s="1"/>
  <c r="J60" i="7" a="1"/>
  <c r="J60" i="7" s="1"/>
  <c r="B60" i="7" a="1"/>
  <c r="B60" i="7" s="1"/>
  <c r="K60" i="7" a="1"/>
  <c r="K60" i="7" s="1"/>
  <c r="L60" i="7" a="1"/>
  <c r="L60" i="7" s="1"/>
  <c r="D60" i="7" a="1"/>
  <c r="D60" i="7" s="1"/>
  <c r="F54" i="7" a="1"/>
  <c r="F54" i="7" s="1"/>
  <c r="G54" i="7" a="1"/>
  <c r="G54" i="7" s="1"/>
  <c r="H54" i="7" a="1"/>
  <c r="H54" i="7" s="1"/>
  <c r="J54" i="7" a="1"/>
  <c r="J54" i="7" s="1"/>
  <c r="K54" i="7" a="1"/>
  <c r="K54" i="7" s="1"/>
  <c r="C54" i="7" a="1"/>
  <c r="C54" i="7" s="1"/>
  <c r="L54" i="7" a="1"/>
  <c r="L54" i="7" s="1"/>
  <c r="M54" i="7" a="1"/>
  <c r="M54" i="7" s="1"/>
  <c r="E54" i="7" a="1"/>
  <c r="E54" i="7" s="1"/>
  <c r="I51" i="7" a="1"/>
  <c r="I51" i="7" s="1"/>
  <c r="C73" i="7" a="1"/>
  <c r="C73" i="7" s="1"/>
  <c r="I66" i="7" a="1"/>
  <c r="I66" i="7" s="1"/>
  <c r="L58" i="7" a="1"/>
  <c r="L58" i="7" s="1"/>
  <c r="G51" i="7" a="1"/>
  <c r="G51" i="7" s="1"/>
  <c r="J45" i="7" a="1"/>
  <c r="J45" i="7" s="1"/>
  <c r="E33" i="7" a="1"/>
  <c r="E33" i="7" s="1"/>
  <c r="F44" i="7" a="1"/>
  <c r="F44" i="7" s="1"/>
  <c r="I41" i="7" a="1"/>
  <c r="I41" i="7" s="1"/>
  <c r="I38" i="7" a="1"/>
  <c r="I38" i="7" s="1"/>
  <c r="K34" i="7" a="1"/>
  <c r="K34" i="7" s="1"/>
  <c r="H32" i="7" a="1"/>
  <c r="H32" i="7" s="1"/>
  <c r="D30" i="7" a="1"/>
  <c r="D30" i="7" s="1"/>
  <c r="K28" i="7" a="1"/>
  <c r="K28" i="7" s="1"/>
  <c r="M27" i="7" a="1"/>
  <c r="M27" i="7" s="1"/>
  <c r="G26" i="7" a="1"/>
  <c r="G26" i="7" s="1"/>
  <c r="D19" i="7" a="1"/>
  <c r="D19" i="7" s="1"/>
  <c r="E17" i="7" a="1"/>
  <c r="E17" i="7" s="1"/>
  <c r="H41" i="7" a="1"/>
  <c r="H41" i="7" s="1"/>
  <c r="J34" i="7" a="1"/>
  <c r="J34" i="7" s="1"/>
  <c r="D33" i="7" a="1"/>
  <c r="D33" i="7" s="1"/>
  <c r="M30" i="7" a="1"/>
  <c r="M30" i="7" s="1"/>
  <c r="J28" i="7" a="1"/>
  <c r="J28" i="7" s="1"/>
  <c r="C27" i="7" a="1"/>
  <c r="C27" i="7" s="1"/>
  <c r="J25" i="7" a="1"/>
  <c r="J25" i="7" s="1"/>
  <c r="F23" i="7" a="1"/>
  <c r="F23" i="7" s="1"/>
  <c r="M33" i="7" a="1"/>
  <c r="M33" i="7" s="1"/>
  <c r="C30" i="7" a="1"/>
  <c r="C30" i="7" s="1"/>
  <c r="I28" i="7" a="1"/>
  <c r="I28" i="7" s="1"/>
  <c r="L27" i="7" a="1"/>
  <c r="L27" i="7" s="1"/>
  <c r="D17" i="7" a="1"/>
  <c r="D17" i="7" s="1"/>
  <c r="F63" i="7" a="1"/>
  <c r="F63" i="7" s="1"/>
  <c r="G59" i="7" a="1"/>
  <c r="G59" i="7" s="1"/>
  <c r="F38" i="7" a="1"/>
  <c r="F38" i="7" s="1"/>
  <c r="I34" i="7" a="1"/>
  <c r="I34" i="7" s="1"/>
  <c r="C33" i="7" a="1"/>
  <c r="C33" i="7" s="1"/>
  <c r="F32" i="7" a="1"/>
  <c r="F32" i="7" s="1"/>
  <c r="L30" i="7" a="1"/>
  <c r="L30" i="7" s="1"/>
  <c r="H28" i="7" a="1"/>
  <c r="H28" i="7" s="1"/>
  <c r="B27" i="7" a="1"/>
  <c r="B27" i="7" s="1"/>
  <c r="H25" i="7" a="1"/>
  <c r="H25" i="7" s="1"/>
  <c r="E23" i="7" a="1"/>
  <c r="E23" i="7" s="1"/>
  <c r="C20" i="7" a="1"/>
  <c r="C20" i="7" s="1"/>
  <c r="K20" i="7" a="1"/>
  <c r="K20" i="7" s="1"/>
  <c r="L33" i="7" a="1"/>
  <c r="L33" i="7" s="1"/>
  <c r="H34" i="7" a="1"/>
  <c r="H34" i="7" s="1"/>
  <c r="B33" i="7" a="1"/>
  <c r="B33" i="7" s="1"/>
  <c r="F19" i="7" a="1"/>
  <c r="F19" i="7" s="1"/>
  <c r="H19" i="7" a="1"/>
  <c r="H19" i="7" s="1"/>
  <c r="H17" i="7" a="1"/>
  <c r="H17" i="7" s="1"/>
  <c r="B17" i="7" a="1"/>
  <c r="B17" i="7" s="1"/>
  <c r="J17" i="7" a="1"/>
  <c r="J17" i="7" s="1"/>
  <c r="K33" i="7" a="1"/>
  <c r="K33" i="7" s="1"/>
  <c r="J27" i="7" a="1"/>
  <c r="J27" i="7" s="1"/>
  <c r="L19" i="7" a="1"/>
  <c r="L19" i="7" s="1"/>
  <c r="M17" i="7" a="1"/>
  <c r="M17" i="7" s="1"/>
  <c r="D63" i="7" a="1"/>
  <c r="D63" i="7" s="1"/>
  <c r="M59" i="7" a="1"/>
  <c r="M59" i="7" s="1"/>
  <c r="D38" i="7" a="1"/>
  <c r="D38" i="7" s="1"/>
  <c r="G34" i="7" a="1"/>
  <c r="G34" i="7" s="1"/>
  <c r="M32" i="7" a="1"/>
  <c r="M32" i="7" s="1"/>
  <c r="C32" i="7" a="1"/>
  <c r="C32" i="7" s="1"/>
  <c r="J30" i="7" a="1"/>
  <c r="J30" i="7" s="1"/>
  <c r="F28" i="7" a="1"/>
  <c r="F28" i="7" s="1"/>
  <c r="M26" i="7" a="1"/>
  <c r="M26" i="7" s="1"/>
  <c r="B26" i="7" a="1"/>
  <c r="B26" i="7" s="1"/>
  <c r="B23" i="7" a="1"/>
  <c r="B23" i="7" s="1"/>
  <c r="J20" i="7" a="1"/>
  <c r="J20" i="7" s="1"/>
  <c r="K44" i="7" a="1"/>
  <c r="K44" i="7" s="1"/>
  <c r="B44" i="7" a="1"/>
  <c r="B44" i="7" s="1"/>
  <c r="M41" i="7" a="1"/>
  <c r="M41" i="7" s="1"/>
  <c r="D41" i="7" a="1"/>
  <c r="D41" i="7" s="1"/>
  <c r="J33" i="7" a="1"/>
  <c r="J33" i="7" s="1"/>
  <c r="L32" i="7" a="1"/>
  <c r="L32" i="7" s="1"/>
  <c r="I27" i="7" a="1"/>
  <c r="I27" i="7" s="1"/>
  <c r="I20" i="7" a="1"/>
  <c r="I20" i="7" s="1"/>
  <c r="K19" i="7" a="1"/>
  <c r="K19" i="7" s="1"/>
  <c r="L17" i="7" a="1"/>
  <c r="L17" i="7" s="1"/>
  <c r="C38" i="7" a="1"/>
  <c r="C38" i="7" s="1"/>
  <c r="F34" i="7" a="1"/>
  <c r="F34" i="7" s="1"/>
  <c r="I33" i="7" a="1"/>
  <c r="I33" i="7" s="1"/>
  <c r="B32" i="7" a="1"/>
  <c r="B32" i="7" s="1"/>
  <c r="I30" i="7" a="1"/>
  <c r="I30" i="7" s="1"/>
  <c r="E28" i="7" a="1"/>
  <c r="E28" i="7" s="1"/>
  <c r="K26" i="7" a="1"/>
  <c r="K26" i="7" s="1"/>
  <c r="K23" i="7" a="1"/>
  <c r="K23" i="7" s="1"/>
  <c r="H20" i="7" a="1"/>
  <c r="H20" i="7" s="1"/>
  <c r="J44" i="7" a="1"/>
  <c r="J44" i="7" s="1"/>
  <c r="L41" i="7" a="1"/>
  <c r="L41" i="7" s="1"/>
  <c r="C41" i="7" a="1"/>
  <c r="C41" i="7" s="1"/>
  <c r="H33" i="7" a="1"/>
  <c r="H33" i="7" s="1"/>
  <c r="H30" i="7" a="1"/>
  <c r="H30" i="7" s="1"/>
  <c r="H27" i="7" a="1"/>
  <c r="H27" i="7" s="1"/>
  <c r="J26" i="7" a="1"/>
  <c r="J26" i="7" s="1"/>
  <c r="D25" i="7" a="1"/>
  <c r="D25" i="7" s="1"/>
  <c r="J23" i="7" a="1"/>
  <c r="J23" i="7" s="1"/>
  <c r="J19" i="7" a="1"/>
  <c r="J19" i="7" s="1"/>
  <c r="K17" i="7" a="1"/>
  <c r="K17" i="7" s="1"/>
  <c r="B63" i="7" a="1"/>
  <c r="B63" i="7" s="1"/>
  <c r="I44" i="7" a="1"/>
  <c r="I44" i="7" s="1"/>
  <c r="B38" i="7" a="1"/>
  <c r="B38" i="7" s="1"/>
  <c r="E34" i="7" a="1"/>
  <c r="E34" i="7" s="1"/>
  <c r="G33" i="7" a="1"/>
  <c r="G33" i="7" s="1"/>
  <c r="G30" i="7" a="1"/>
  <c r="G30" i="7" s="1"/>
  <c r="D28" i="7" a="1"/>
  <c r="D28" i="7" s="1"/>
  <c r="G27" i="7" a="1"/>
  <c r="G27" i="7" s="1"/>
  <c r="M25" i="7" a="1"/>
  <c r="M25" i="7" s="1"/>
  <c r="I23" i="7" a="1"/>
  <c r="I23" i="7" s="1"/>
  <c r="G20" i="7" a="1"/>
  <c r="G20" i="7" s="1"/>
  <c r="I17" i="7" a="1"/>
  <c r="I17" i="7" s="1"/>
  <c r="H44" i="7" a="1"/>
  <c r="H44" i="7" s="1"/>
  <c r="K41" i="7" a="1"/>
  <c r="K41" i="7" s="1"/>
  <c r="B41" i="7" a="1"/>
  <c r="B41" i="7" s="1"/>
  <c r="D34" i="7" a="1"/>
  <c r="D34" i="7" s="1"/>
  <c r="J32" i="7" a="1"/>
  <c r="J32" i="7" s="1"/>
  <c r="F30" i="7" a="1"/>
  <c r="F30" i="7" s="1"/>
  <c r="M28" i="7" a="1"/>
  <c r="M28" i="7" s="1"/>
  <c r="F27" i="7" a="1"/>
  <c r="F27" i="7" s="1"/>
  <c r="I26" i="7" a="1"/>
  <c r="I26" i="7" s="1"/>
  <c r="C25" i="7" a="1"/>
  <c r="C25" i="7" s="1"/>
  <c r="I19" i="7" a="1"/>
  <c r="I19" i="7" s="1"/>
  <c r="G17" i="7" a="1"/>
  <c r="G17" i="7" s="1"/>
  <c r="C34" i="7" a="1"/>
  <c r="C34" i="7" s="1"/>
  <c r="C28" i="7" a="1"/>
  <c r="C28" i="7" s="1"/>
  <c r="E27" i="7" a="1"/>
  <c r="E27" i="7" s="1"/>
  <c r="L25" i="7" a="1"/>
  <c r="L25" i="7" s="1"/>
  <c r="H23" i="7" a="1"/>
  <c r="H23" i="7" s="1"/>
  <c r="F20" i="7" a="1"/>
  <c r="F20" i="7" s="1"/>
  <c r="G19" i="7" a="1"/>
  <c r="G19" i="7" s="1"/>
  <c r="M34" i="7" a="1"/>
  <c r="M34" i="7" s="1"/>
  <c r="L28" i="7" a="1"/>
  <c r="L28" i="7" s="1"/>
  <c r="E19" i="7" a="1"/>
  <c r="E19" i="7" s="1"/>
  <c r="F17" i="7" a="1"/>
  <c r="F17" i="7" s="1"/>
  <c r="E20" i="7" a="1"/>
  <c r="E20" i="7" s="1"/>
  <c r="B15" i="7" a="1"/>
  <c r="B15" i="7" s="1"/>
  <c r="J15" i="7" a="1"/>
  <c r="J15" i="7" s="1"/>
  <c r="C15" i="7" a="1"/>
  <c r="C15" i="7" s="1"/>
  <c r="K15" i="7" a="1"/>
  <c r="K15" i="7" s="1"/>
  <c r="D15" i="7" a="1"/>
  <c r="D15" i="7" s="1"/>
  <c r="L15" i="7" a="1"/>
  <c r="L15" i="7" s="1"/>
  <c r="E15" i="7" a="1"/>
  <c r="E15" i="7" s="1"/>
  <c r="B14" i="7" a="1"/>
  <c r="B14" i="7" s="1"/>
  <c r="J14" i="7" a="1"/>
  <c r="J14" i="7" s="1"/>
  <c r="L14" i="7" a="1"/>
  <c r="L14" i="7" s="1"/>
  <c r="C14" i="7" a="1"/>
  <c r="C14" i="7" s="1"/>
  <c r="K14" i="7" a="1"/>
  <c r="K14" i="7" s="1"/>
  <c r="M14" i="7" a="1"/>
  <c r="M14" i="7" s="1"/>
  <c r="D14" i="7" a="1"/>
  <c r="D14" i="7" s="1"/>
  <c r="E14" i="7" a="1"/>
  <c r="E14" i="7" s="1"/>
  <c r="I14" i="7" a="1"/>
  <c r="I14" i="7" s="1"/>
  <c r="F14" i="7" a="1"/>
  <c r="F14" i="7" s="1"/>
  <c r="G14" i="7" a="1"/>
  <c r="G14" i="7" s="1"/>
  <c r="H14" i="7" a="1"/>
  <c r="H14" i="7" s="1"/>
  <c r="I28" i="6"/>
  <c r="I27" i="6"/>
  <c r="I26" i="6"/>
  <c r="I23" i="6"/>
  <c r="I22" i="6"/>
  <c r="I21" i="6"/>
  <c r="I18" i="6"/>
  <c r="I17" i="6"/>
  <c r="H16" i="6"/>
  <c r="I15" i="6"/>
  <c r="I14" i="6"/>
  <c r="I13" i="6"/>
  <c r="I12" i="6"/>
  <c r="I11" i="6"/>
  <c r="I10" i="6"/>
  <c r="H9" i="6"/>
  <c r="I8" i="6"/>
  <c r="I5" i="6"/>
  <c r="H128" i="5" a="1"/>
  <c r="H128" i="5" s="1"/>
  <c r="C128" i="5" a="1"/>
  <c r="C128" i="5" s="1"/>
  <c r="J128" i="5" s="1" a="1"/>
  <c r="J128" i="5" s="1"/>
  <c r="D128" i="5" a="1"/>
  <c r="D128" i="5" s="1"/>
  <c r="AB128" i="5" s="1"/>
  <c r="E128" i="5" a="1"/>
  <c r="E128" i="5" s="1"/>
  <c r="G128" i="5" a="1"/>
  <c r="G128" i="5" s="1"/>
  <c r="I128" i="5" s="1"/>
  <c r="F128" i="5" a="1"/>
  <c r="F128" i="5" s="1"/>
  <c r="C127" i="5" a="1"/>
  <c r="C127" i="5" s="1"/>
  <c r="J127" i="5" s="1" a="1"/>
  <c r="J127" i="5" s="1"/>
  <c r="G127" i="5" a="1"/>
  <c r="G127" i="5" s="1"/>
  <c r="D127" i="5" a="1"/>
  <c r="D127" i="5" s="1"/>
  <c r="AB127" i="5" s="1"/>
  <c r="E127" i="5" a="1"/>
  <c r="E127" i="5" s="1"/>
  <c r="F127" i="5" a="1"/>
  <c r="F127" i="5" s="1"/>
  <c r="H127" i="5" a="1"/>
  <c r="H127" i="5" s="1"/>
  <c r="Q121" i="5"/>
  <c r="R121" i="5" s="1"/>
  <c r="M121" i="5" a="1"/>
  <c r="M121" i="5" s="1"/>
  <c r="N121" i="5" a="1"/>
  <c r="N121" i="5" s="1"/>
  <c r="O121" i="5" a="1"/>
  <c r="O121" i="5" s="1"/>
  <c r="K121" i="5" a="1"/>
  <c r="K121" i="5" s="1"/>
  <c r="P121" i="5" s="1"/>
  <c r="U121" i="5" a="1"/>
  <c r="U121" i="5" s="1"/>
  <c r="L121" i="5" a="1"/>
  <c r="L121" i="5" s="1"/>
  <c r="F137" i="5" a="1"/>
  <c r="F137" i="5" s="1"/>
  <c r="D137" i="5" a="1"/>
  <c r="D137" i="5" s="1"/>
  <c r="AB137" i="5" s="1"/>
  <c r="H137" i="5" a="1"/>
  <c r="H137" i="5" s="1"/>
  <c r="E137" i="5" a="1"/>
  <c r="E137" i="5" s="1"/>
  <c r="C137" i="5" a="1"/>
  <c r="C137" i="5" s="1"/>
  <c r="J137" i="5" s="1" a="1"/>
  <c r="J137" i="5" s="1"/>
  <c r="G137" i="5" a="1"/>
  <c r="G137" i="5" s="1"/>
  <c r="I137" i="5" s="1"/>
  <c r="G126" i="5" a="1"/>
  <c r="G126" i="5" s="1"/>
  <c r="I126" i="5" s="1"/>
  <c r="D126" i="5" a="1"/>
  <c r="D126" i="5" s="1"/>
  <c r="AB126" i="5" s="1"/>
  <c r="E126" i="5" a="1"/>
  <c r="E126" i="5" s="1"/>
  <c r="F126" i="5" a="1"/>
  <c r="F126" i="5" s="1"/>
  <c r="C126" i="5" a="1"/>
  <c r="C126" i="5" s="1"/>
  <c r="J126" i="5" s="1" a="1"/>
  <c r="J126" i="5" s="1"/>
  <c r="H126" i="5" a="1"/>
  <c r="H126" i="5" s="1"/>
  <c r="AD125" i="5"/>
  <c r="T125" i="5"/>
  <c r="G133" i="5" a="1"/>
  <c r="G133" i="5" s="1"/>
  <c r="H133" i="5" a="1"/>
  <c r="H133" i="5" s="1"/>
  <c r="C133" i="5" a="1"/>
  <c r="C133" i="5" s="1"/>
  <c r="J133" i="5" s="1" a="1"/>
  <c r="J133" i="5" s="1"/>
  <c r="D133" i="5" a="1"/>
  <c r="D133" i="5" s="1"/>
  <c r="AB133" i="5" s="1"/>
  <c r="F133" i="5" a="1"/>
  <c r="F133" i="5" s="1"/>
  <c r="E133" i="5" a="1"/>
  <c r="E133" i="5" s="1"/>
  <c r="H139" i="5" a="1"/>
  <c r="H139" i="5" s="1"/>
  <c r="D139" i="5" a="1"/>
  <c r="D139" i="5" s="1"/>
  <c r="AB139" i="5" s="1"/>
  <c r="F139" i="5" a="1"/>
  <c r="F139" i="5" s="1"/>
  <c r="C139" i="5" a="1"/>
  <c r="C139" i="5" s="1"/>
  <c r="J139" i="5" s="1" a="1"/>
  <c r="J139" i="5" s="1"/>
  <c r="E139" i="5" a="1"/>
  <c r="E139" i="5" s="1"/>
  <c r="G139" i="5" a="1"/>
  <c r="G139" i="5" s="1"/>
  <c r="AA134" i="5"/>
  <c r="S134" i="5"/>
  <c r="AC134" i="5"/>
  <c r="E140" i="5" a="1"/>
  <c r="E140" i="5" s="1"/>
  <c r="G140" i="5" a="1"/>
  <c r="G140" i="5" s="1"/>
  <c r="D140" i="5" a="1"/>
  <c r="D140" i="5" s="1"/>
  <c r="AB140" i="5" s="1"/>
  <c r="F140" i="5" a="1"/>
  <c r="F140" i="5" s="1"/>
  <c r="C140" i="5" a="1"/>
  <c r="C140" i="5" s="1"/>
  <c r="J140" i="5" s="1" a="1"/>
  <c r="J140" i="5" s="1"/>
  <c r="H140" i="5" a="1"/>
  <c r="H140" i="5" s="1"/>
  <c r="G138" i="5" a="1"/>
  <c r="G138" i="5" s="1"/>
  <c r="C138" i="5" a="1"/>
  <c r="C138" i="5" s="1"/>
  <c r="J138" i="5" s="1" a="1"/>
  <c r="J138" i="5" s="1"/>
  <c r="E138" i="5" a="1"/>
  <c r="E138" i="5" s="1"/>
  <c r="H138" i="5" a="1"/>
  <c r="H138" i="5" s="1"/>
  <c r="F138" i="5" a="1"/>
  <c r="F138" i="5" s="1"/>
  <c r="D138" i="5" a="1"/>
  <c r="D138" i="5" s="1"/>
  <c r="AB138" i="5" s="1"/>
  <c r="H113" i="5" a="1"/>
  <c r="H113" i="5" s="1"/>
  <c r="E113" i="5" a="1"/>
  <c r="E113" i="5" s="1"/>
  <c r="D113" i="5" a="1"/>
  <c r="D113" i="5" s="1"/>
  <c r="AB113" i="5" s="1"/>
  <c r="G113" i="5" a="1"/>
  <c r="G113" i="5" s="1"/>
  <c r="I113" i="5" s="1"/>
  <c r="C113" i="5" a="1"/>
  <c r="C113" i="5" s="1"/>
  <c r="J113" i="5" s="1" a="1"/>
  <c r="J113" i="5" s="1"/>
  <c r="F113" i="5" a="1"/>
  <c r="F113" i="5" s="1"/>
  <c r="C116" i="5" a="1"/>
  <c r="C116" i="5" s="1"/>
  <c r="J116" i="5" s="1" a="1"/>
  <c r="J116" i="5" s="1"/>
  <c r="H116" i="5" a="1"/>
  <c r="H116" i="5" s="1"/>
  <c r="D116" i="5" a="1"/>
  <c r="D116" i="5" s="1"/>
  <c r="AB116" i="5" s="1"/>
  <c r="E116" i="5" a="1"/>
  <c r="E116" i="5" s="1"/>
  <c r="F116" i="5" a="1"/>
  <c r="F116" i="5" s="1"/>
  <c r="G116" i="5" a="1"/>
  <c r="G116" i="5" s="1"/>
  <c r="I116" i="5" s="1"/>
  <c r="C130" i="5" a="1"/>
  <c r="C130" i="5" s="1"/>
  <c r="J130" i="5" s="1" a="1"/>
  <c r="J130" i="5" s="1"/>
  <c r="G130" i="5" a="1"/>
  <c r="G130" i="5" s="1"/>
  <c r="P125" i="5"/>
  <c r="O125" i="5" a="1"/>
  <c r="O125" i="5" s="1"/>
  <c r="F132" i="5" a="1"/>
  <c r="F132" i="5" s="1"/>
  <c r="C132" i="5" a="1"/>
  <c r="C132" i="5" s="1"/>
  <c r="J132" i="5" s="1" a="1"/>
  <c r="J132" i="5" s="1"/>
  <c r="D132" i="5" a="1"/>
  <c r="D132" i="5" s="1"/>
  <c r="AB132" i="5" s="1"/>
  <c r="H132" i="5" a="1"/>
  <c r="H132" i="5" s="1"/>
  <c r="I123" i="5"/>
  <c r="H121" i="5" a="1"/>
  <c r="H121" i="5" s="1"/>
  <c r="D121" i="5" a="1"/>
  <c r="D121" i="5" s="1"/>
  <c r="AB121" i="5" s="1"/>
  <c r="E121" i="5" a="1"/>
  <c r="E121" i="5" s="1"/>
  <c r="F121" i="5" a="1"/>
  <c r="F121" i="5" s="1"/>
  <c r="G121" i="5" a="1"/>
  <c r="G121" i="5" s="1"/>
  <c r="I121" i="5" s="1"/>
  <c r="L125" i="5" a="1"/>
  <c r="L125" i="5" s="1"/>
  <c r="U125" i="5" a="1"/>
  <c r="U125" i="5" s="1"/>
  <c r="K125" i="5" a="1"/>
  <c r="K125" i="5" s="1"/>
  <c r="M125" i="5" a="1"/>
  <c r="M125" i="5" s="1"/>
  <c r="Q125" i="5"/>
  <c r="R125" i="5" s="1"/>
  <c r="E125" i="5" a="1"/>
  <c r="E125" i="5" s="1"/>
  <c r="F125" i="5" a="1"/>
  <c r="F125" i="5" s="1"/>
  <c r="G125" i="5" a="1"/>
  <c r="G125" i="5" s="1"/>
  <c r="I125" i="5" s="1"/>
  <c r="M118" i="5" a="1"/>
  <c r="M118" i="5" s="1"/>
  <c r="O118" i="5" a="1"/>
  <c r="O118" i="5" s="1"/>
  <c r="K118" i="5" a="1"/>
  <c r="K118" i="5" s="1"/>
  <c r="U118" i="5" a="1"/>
  <c r="U118" i="5" s="1"/>
  <c r="L118" i="5" a="1"/>
  <c r="L118" i="5" s="1"/>
  <c r="Q118" i="5" s="1"/>
  <c r="R118" i="5" s="1"/>
  <c r="N118" i="5" a="1"/>
  <c r="N118" i="5" s="1"/>
  <c r="P118" i="5"/>
  <c r="N95" i="5" a="1"/>
  <c r="N95" i="5" s="1"/>
  <c r="K95" i="5" a="1"/>
  <c r="K95" i="5" s="1"/>
  <c r="M95" i="5" a="1"/>
  <c r="M95" i="5" s="1"/>
  <c r="L95" i="5" a="1"/>
  <c r="L95" i="5" s="1"/>
  <c r="O95" i="5" a="1"/>
  <c r="O95" i="5" s="1"/>
  <c r="U95" i="5" a="1"/>
  <c r="U95" i="5" s="1"/>
  <c r="AA136" i="5"/>
  <c r="E136" i="5" a="1"/>
  <c r="E136" i="5" s="1"/>
  <c r="C136" i="5" a="1"/>
  <c r="C136" i="5" s="1"/>
  <c r="J136" i="5" s="1" a="1"/>
  <c r="J136" i="5" s="1"/>
  <c r="D136" i="5" a="1"/>
  <c r="D136" i="5" s="1"/>
  <c r="AB136" i="5" s="1"/>
  <c r="AC136" i="5" s="1"/>
  <c r="G136" i="5" a="1"/>
  <c r="G136" i="5" s="1"/>
  <c r="H136" i="5" a="1"/>
  <c r="H136" i="5" s="1"/>
  <c r="G120" i="5" a="1"/>
  <c r="G120" i="5" s="1"/>
  <c r="I120" i="5" s="1"/>
  <c r="H120" i="5" a="1"/>
  <c r="H120" i="5" s="1"/>
  <c r="D120" i="5" a="1"/>
  <c r="D120" i="5" s="1"/>
  <c r="AB120" i="5" s="1"/>
  <c r="C120" i="5" a="1"/>
  <c r="C120" i="5" s="1"/>
  <c r="J120" i="5" s="1" a="1"/>
  <c r="J120" i="5" s="1"/>
  <c r="E120" i="5" a="1"/>
  <c r="E120" i="5" s="1"/>
  <c r="F120" i="5" a="1"/>
  <c r="F120" i="5" s="1"/>
  <c r="D135" i="5" a="1"/>
  <c r="D135" i="5" s="1"/>
  <c r="AB135" i="5" s="1"/>
  <c r="G135" i="5" a="1"/>
  <c r="G135" i="5" s="1"/>
  <c r="H135" i="5" a="1"/>
  <c r="H135" i="5" s="1"/>
  <c r="C135" i="5" a="1"/>
  <c r="C135" i="5" s="1"/>
  <c r="J135" i="5" s="1" a="1"/>
  <c r="J135" i="5" s="1"/>
  <c r="F135" i="5" a="1"/>
  <c r="F135" i="5" s="1"/>
  <c r="H130" i="5" a="1"/>
  <c r="H130" i="5" s="1"/>
  <c r="H129" i="5" a="1"/>
  <c r="H129" i="5" s="1"/>
  <c r="I129" i="5" s="1"/>
  <c r="F130" i="5" a="1"/>
  <c r="F130" i="5" s="1"/>
  <c r="G122" i="5" a="1"/>
  <c r="G122" i="5" s="1"/>
  <c r="D122" i="5" a="1"/>
  <c r="D122" i="5" s="1"/>
  <c r="AB122" i="5" s="1"/>
  <c r="E122" i="5" a="1"/>
  <c r="E122" i="5" s="1"/>
  <c r="F122" i="5" a="1"/>
  <c r="F122" i="5" s="1"/>
  <c r="H122" i="5" a="1"/>
  <c r="H122" i="5" s="1"/>
  <c r="C122" i="5" a="1"/>
  <c r="C122" i="5" s="1"/>
  <c r="J122" i="5" s="1" a="1"/>
  <c r="J122" i="5" s="1"/>
  <c r="E130" i="5" a="1"/>
  <c r="E130" i="5" s="1"/>
  <c r="D117" i="5" a="1"/>
  <c r="D117" i="5" s="1"/>
  <c r="AB117" i="5" s="1"/>
  <c r="G117" i="5" a="1"/>
  <c r="G117" i="5" s="1"/>
  <c r="C117" i="5" a="1"/>
  <c r="C117" i="5" s="1"/>
  <c r="J117" i="5" s="1" a="1"/>
  <c r="J117" i="5" s="1"/>
  <c r="E117" i="5" a="1"/>
  <c r="E117" i="5" s="1"/>
  <c r="F117" i="5" a="1"/>
  <c r="F117" i="5" s="1"/>
  <c r="H117" i="5" a="1"/>
  <c r="H117" i="5" s="1"/>
  <c r="F114" i="5" a="1"/>
  <c r="F114" i="5" s="1"/>
  <c r="C114" i="5" a="1"/>
  <c r="C114" i="5" s="1"/>
  <c r="J114" i="5" s="1" a="1"/>
  <c r="J114" i="5" s="1"/>
  <c r="E114" i="5" a="1"/>
  <c r="E114" i="5" s="1"/>
  <c r="H114" i="5" a="1"/>
  <c r="H114" i="5" s="1"/>
  <c r="D114" i="5" a="1"/>
  <c r="D114" i="5" s="1"/>
  <c r="AB114" i="5" s="1"/>
  <c r="G114" i="5" a="1"/>
  <c r="G114" i="5" s="1"/>
  <c r="G131" i="5" a="1"/>
  <c r="G131" i="5" s="1"/>
  <c r="I131" i="5" s="1"/>
  <c r="H131" i="5" a="1"/>
  <c r="H131" i="5" s="1"/>
  <c r="C131" i="5" a="1"/>
  <c r="C131" i="5" s="1"/>
  <c r="J131" i="5" s="1" a="1"/>
  <c r="J131" i="5" s="1"/>
  <c r="E131" i="5" a="1"/>
  <c r="E131" i="5" s="1"/>
  <c r="F131" i="5" a="1"/>
  <c r="F131" i="5" s="1"/>
  <c r="G132" i="5" a="1"/>
  <c r="G132" i="5" s="1"/>
  <c r="I132" i="5" s="1"/>
  <c r="C129" i="5" a="1"/>
  <c r="C129" i="5" s="1"/>
  <c r="J129" i="5" s="1" a="1"/>
  <c r="J129" i="5" s="1"/>
  <c r="E129" i="5" a="1"/>
  <c r="E129" i="5" s="1"/>
  <c r="F129" i="5" a="1"/>
  <c r="F129" i="5" s="1"/>
  <c r="D129" i="5" a="1"/>
  <c r="D129" i="5" s="1"/>
  <c r="AB129" i="5" s="1"/>
  <c r="D124" i="5" a="1"/>
  <c r="D124" i="5" s="1"/>
  <c r="AB124" i="5" s="1"/>
  <c r="G124" i="5" a="1"/>
  <c r="G124" i="5" s="1"/>
  <c r="I124" i="5" s="1"/>
  <c r="C124" i="5" a="1"/>
  <c r="C124" i="5" s="1"/>
  <c r="J124" i="5" s="1" a="1"/>
  <c r="J124" i="5" s="1"/>
  <c r="E124" i="5" a="1"/>
  <c r="E124" i="5" s="1"/>
  <c r="F124" i="5" a="1"/>
  <c r="F124" i="5" s="1"/>
  <c r="H124" i="5" a="1"/>
  <c r="H124" i="5" s="1"/>
  <c r="L104" i="5" a="1"/>
  <c r="L104" i="5" s="1"/>
  <c r="Q104" i="5" s="1"/>
  <c r="R104" i="5" s="1"/>
  <c r="N104" i="5" a="1"/>
  <c r="N104" i="5" s="1"/>
  <c r="K104" i="5" a="1"/>
  <c r="K104" i="5" s="1"/>
  <c r="M104" i="5" a="1"/>
  <c r="M104" i="5" s="1"/>
  <c r="O104" i="5" a="1"/>
  <c r="O104" i="5" s="1"/>
  <c r="U104" i="5" a="1"/>
  <c r="U104" i="5" s="1"/>
  <c r="N106" i="5" a="1"/>
  <c r="N106" i="5" s="1"/>
  <c r="P106" i="5"/>
  <c r="U106" i="5" a="1"/>
  <c r="U106" i="5" s="1"/>
  <c r="L106" i="5" a="1"/>
  <c r="L106" i="5" s="1"/>
  <c r="M106" i="5" a="1"/>
  <c r="M106" i="5" s="1"/>
  <c r="Q106" i="5"/>
  <c r="R106" i="5" s="1"/>
  <c r="I104" i="5"/>
  <c r="U115" i="5" a="1"/>
  <c r="U115" i="5" s="1"/>
  <c r="O115" i="5" a="1"/>
  <c r="O115" i="5" s="1"/>
  <c r="K115" i="5" a="1"/>
  <c r="K115" i="5" s="1"/>
  <c r="L115" i="5" a="1"/>
  <c r="L115" i="5" s="1"/>
  <c r="Q115" i="5" s="1"/>
  <c r="R115" i="5" s="1"/>
  <c r="M115" i="5" a="1"/>
  <c r="M115" i="5" s="1"/>
  <c r="F123" i="5" a="1"/>
  <c r="F123" i="5" s="1"/>
  <c r="C123" i="5" a="1"/>
  <c r="C123" i="5" s="1"/>
  <c r="J123" i="5" s="1" a="1"/>
  <c r="J123" i="5" s="1"/>
  <c r="D107" i="5" a="1"/>
  <c r="D107" i="5" s="1"/>
  <c r="AB107" i="5" s="1"/>
  <c r="F107" i="5" a="1"/>
  <c r="F107" i="5" s="1"/>
  <c r="G107" i="5" a="1"/>
  <c r="G107" i="5" s="1"/>
  <c r="C107" i="5" a="1"/>
  <c r="C107" i="5" s="1"/>
  <c r="J107" i="5" s="1" a="1"/>
  <c r="J107" i="5" s="1"/>
  <c r="H107" i="5" a="1"/>
  <c r="H107" i="5" s="1"/>
  <c r="G103" i="5" a="1"/>
  <c r="G103" i="5" s="1"/>
  <c r="H103" i="5" a="1"/>
  <c r="H103" i="5" s="1"/>
  <c r="C103" i="5" a="1"/>
  <c r="C103" i="5" s="1"/>
  <c r="J103" i="5" s="1" a="1"/>
  <c r="J103" i="5" s="1"/>
  <c r="D103" i="5" a="1"/>
  <c r="D103" i="5" s="1"/>
  <c r="AB103" i="5" s="1"/>
  <c r="E103" i="5" a="1"/>
  <c r="E103" i="5" s="1"/>
  <c r="F103" i="5" a="1"/>
  <c r="F103" i="5" s="1"/>
  <c r="G134" i="5" a="1"/>
  <c r="G134" i="5" s="1"/>
  <c r="I134" i="5" s="1"/>
  <c r="F119" i="5" a="1"/>
  <c r="F119" i="5" s="1"/>
  <c r="C119" i="5" a="1"/>
  <c r="C119" i="5" s="1"/>
  <c r="J119" i="5" s="1" a="1"/>
  <c r="J119" i="5" s="1"/>
  <c r="H119" i="5" a="1"/>
  <c r="H119" i="5" s="1"/>
  <c r="I119" i="5" s="1"/>
  <c r="F109" i="5" a="1"/>
  <c r="F109" i="5" s="1"/>
  <c r="G109" i="5" a="1"/>
  <c r="G109" i="5" s="1"/>
  <c r="C109" i="5" a="1"/>
  <c r="C109" i="5" s="1"/>
  <c r="J109" i="5" s="1" a="1"/>
  <c r="J109" i="5" s="1"/>
  <c r="E109" i="5" a="1"/>
  <c r="E109" i="5" s="1"/>
  <c r="H109" i="5" a="1"/>
  <c r="H109" i="5" s="1"/>
  <c r="AC118" i="5"/>
  <c r="P115" i="5"/>
  <c r="E118" i="5" a="1"/>
  <c r="E118" i="5" s="1"/>
  <c r="D118" i="5" a="1"/>
  <c r="D118" i="5" s="1"/>
  <c r="AB118" i="5" s="1"/>
  <c r="G118" i="5" a="1"/>
  <c r="G118" i="5" s="1"/>
  <c r="I118" i="5" s="1"/>
  <c r="N115" i="5" a="1"/>
  <c r="N115" i="5" s="1"/>
  <c r="O106" i="5" a="1"/>
  <c r="O106" i="5" s="1"/>
  <c r="F105" i="5" a="1"/>
  <c r="F105" i="5" s="1"/>
  <c r="G105" i="5" a="1"/>
  <c r="G105" i="5" s="1"/>
  <c r="I105" i="5" s="1"/>
  <c r="D105" i="5" a="1"/>
  <c r="D105" i="5" s="1"/>
  <c r="AB105" i="5" s="1"/>
  <c r="E105" i="5" a="1"/>
  <c r="E105" i="5" s="1"/>
  <c r="H105" i="5" a="1"/>
  <c r="H105" i="5" s="1"/>
  <c r="C105" i="5" a="1"/>
  <c r="C105" i="5" s="1"/>
  <c r="J105" i="5" s="1" a="1"/>
  <c r="J105" i="5" s="1"/>
  <c r="I92" i="5"/>
  <c r="G112" i="5" a="1"/>
  <c r="G112" i="5" s="1"/>
  <c r="D112" i="5" a="1"/>
  <c r="D112" i="5" s="1"/>
  <c r="AB112" i="5" s="1"/>
  <c r="C112" i="5" a="1"/>
  <c r="C112" i="5" s="1"/>
  <c r="J112" i="5" s="1" a="1"/>
  <c r="J112" i="5" s="1"/>
  <c r="E112" i="5" a="1"/>
  <c r="E112" i="5" s="1"/>
  <c r="F112" i="5" a="1"/>
  <c r="F112" i="5" s="1"/>
  <c r="H112" i="5" a="1"/>
  <c r="H112" i="5" s="1"/>
  <c r="K106" i="5" a="1"/>
  <c r="K106" i="5" s="1"/>
  <c r="D110" i="5" a="1"/>
  <c r="D110" i="5" s="1"/>
  <c r="AB110" i="5" s="1"/>
  <c r="C110" i="5" a="1"/>
  <c r="C110" i="5" s="1"/>
  <c r="J110" i="5" s="1" a="1"/>
  <c r="J110" i="5" s="1"/>
  <c r="E110" i="5" a="1"/>
  <c r="E110" i="5" s="1"/>
  <c r="F110" i="5" a="1"/>
  <c r="F110" i="5" s="1"/>
  <c r="G110" i="5" a="1"/>
  <c r="G110" i="5" s="1"/>
  <c r="H110" i="5" a="1"/>
  <c r="H110" i="5" s="1"/>
  <c r="F108" i="5" a="1"/>
  <c r="F108" i="5" s="1"/>
  <c r="E108" i="5" a="1"/>
  <c r="E108" i="5" s="1"/>
  <c r="H108" i="5" a="1"/>
  <c r="H108" i="5" s="1"/>
  <c r="I108" i="5" s="1"/>
  <c r="C108" i="5" a="1"/>
  <c r="C108" i="5" s="1"/>
  <c r="J108" i="5" s="1" a="1"/>
  <c r="J108" i="5" s="1"/>
  <c r="D108" i="5" a="1"/>
  <c r="D108" i="5" s="1"/>
  <c r="AB108" i="5" s="1"/>
  <c r="H134" i="5" a="1"/>
  <c r="H134" i="5" s="1"/>
  <c r="C134" i="5" a="1"/>
  <c r="C134" i="5" s="1"/>
  <c r="J134" i="5" s="1" a="1"/>
  <c r="J134" i="5" s="1"/>
  <c r="H123" i="5" a="1"/>
  <c r="H123" i="5" s="1"/>
  <c r="S118" i="5"/>
  <c r="F111" i="5" a="1"/>
  <c r="F111" i="5" s="1"/>
  <c r="H111" i="5" a="1"/>
  <c r="H111" i="5" s="1"/>
  <c r="I111" i="5" s="1"/>
  <c r="C111" i="5" a="1"/>
  <c r="C111" i="5" s="1"/>
  <c r="J111" i="5" s="1" a="1"/>
  <c r="J111" i="5" s="1"/>
  <c r="F99" i="5" a="1"/>
  <c r="F99" i="5" s="1"/>
  <c r="C99" i="5" a="1"/>
  <c r="C99" i="5" s="1"/>
  <c r="J99" i="5" s="1" a="1"/>
  <c r="J99" i="5" s="1"/>
  <c r="D99" i="5" a="1"/>
  <c r="D99" i="5" s="1"/>
  <c r="AB99" i="5" s="1"/>
  <c r="G99" i="5" a="1"/>
  <c r="G99" i="5" s="1"/>
  <c r="H99" i="5" a="1"/>
  <c r="H99" i="5" s="1"/>
  <c r="C90" i="5" a="1"/>
  <c r="C90" i="5" s="1"/>
  <c r="J90" i="5" s="1" a="1"/>
  <c r="J90" i="5" s="1"/>
  <c r="F90" i="5" a="1"/>
  <c r="F90" i="5" s="1"/>
  <c r="E90" i="5" a="1"/>
  <c r="E90" i="5" s="1"/>
  <c r="H90" i="5" a="1"/>
  <c r="H90" i="5" s="1"/>
  <c r="I90" i="5" s="1"/>
  <c r="D90" i="5" a="1"/>
  <c r="D90" i="5" s="1"/>
  <c r="AB90" i="5" s="1"/>
  <c r="C96" i="5" a="1"/>
  <c r="C96" i="5" s="1"/>
  <c r="J96" i="5" s="1" a="1"/>
  <c r="J96" i="5" s="1"/>
  <c r="E96" i="5" a="1"/>
  <c r="E96" i="5" s="1"/>
  <c r="F96" i="5" a="1"/>
  <c r="F96" i="5" s="1"/>
  <c r="G96" i="5" a="1"/>
  <c r="G96" i="5" s="1"/>
  <c r="I96" i="5" s="1"/>
  <c r="D96" i="5" a="1"/>
  <c r="D96" i="5" s="1"/>
  <c r="AB96" i="5" s="1"/>
  <c r="F115" i="5" a="1"/>
  <c r="F115" i="5" s="1"/>
  <c r="AC104" i="5"/>
  <c r="S104" i="5"/>
  <c r="D100" i="5" a="1"/>
  <c r="D100" i="5" s="1"/>
  <c r="AB100" i="5" s="1"/>
  <c r="C100" i="5" a="1"/>
  <c r="C100" i="5" s="1"/>
  <c r="J100" i="5" s="1" a="1"/>
  <c r="J100" i="5" s="1"/>
  <c r="F100" i="5" a="1"/>
  <c r="F100" i="5" s="1"/>
  <c r="G100" i="5" a="1"/>
  <c r="G100" i="5" s="1"/>
  <c r="I100" i="5" s="1"/>
  <c r="N77" i="5" a="1"/>
  <c r="N77" i="5" s="1"/>
  <c r="U77" i="5" a="1"/>
  <c r="U77" i="5" s="1"/>
  <c r="K77" i="5" a="1"/>
  <c r="K77" i="5" s="1"/>
  <c r="P77" i="5" s="1"/>
  <c r="L77" i="5" a="1"/>
  <c r="L77" i="5" s="1"/>
  <c r="Q77" i="5" s="1"/>
  <c r="R77" i="5" s="1"/>
  <c r="O77" i="5" a="1"/>
  <c r="O77" i="5" s="1"/>
  <c r="M77" i="5" a="1"/>
  <c r="M77" i="5" s="1"/>
  <c r="I72" i="5"/>
  <c r="H92" i="5" a="1"/>
  <c r="H92" i="5" s="1"/>
  <c r="C92" i="5" a="1"/>
  <c r="C92" i="5" s="1"/>
  <c r="J92" i="5" s="1" a="1"/>
  <c r="J92" i="5" s="1"/>
  <c r="D92" i="5" a="1"/>
  <c r="D92" i="5" s="1"/>
  <c r="AB92" i="5" s="1"/>
  <c r="F92" i="5" a="1"/>
  <c r="F92" i="5" s="1"/>
  <c r="E92" i="5" a="1"/>
  <c r="E92" i="5" s="1"/>
  <c r="E94" i="5" a="1"/>
  <c r="E94" i="5" s="1"/>
  <c r="F94" i="5" a="1"/>
  <c r="F94" i="5" s="1"/>
  <c r="H94" i="5" a="1"/>
  <c r="H94" i="5" s="1"/>
  <c r="G94" i="5" a="1"/>
  <c r="G94" i="5" s="1"/>
  <c r="C94" i="5" a="1"/>
  <c r="C94" i="5" s="1"/>
  <c r="J94" i="5" s="1" a="1"/>
  <c r="J94" i="5" s="1"/>
  <c r="E97" i="5" a="1"/>
  <c r="E97" i="5" s="1"/>
  <c r="G97" i="5" a="1"/>
  <c r="G97" i="5" s="1"/>
  <c r="I97" i="5" s="1"/>
  <c r="H97" i="5" a="1"/>
  <c r="H97" i="5" s="1"/>
  <c r="C97" i="5" a="1"/>
  <c r="C97" i="5" s="1"/>
  <c r="J97" i="5" s="1" a="1"/>
  <c r="J97" i="5" s="1"/>
  <c r="D97" i="5" a="1"/>
  <c r="D97" i="5" s="1"/>
  <c r="AB97" i="5" s="1"/>
  <c r="F97" i="5" a="1"/>
  <c r="F97" i="5" s="1"/>
  <c r="H104" i="5" a="1"/>
  <c r="H104" i="5" s="1"/>
  <c r="D104" i="5" a="1"/>
  <c r="D104" i="5" s="1"/>
  <c r="AB104" i="5" s="1"/>
  <c r="E101" i="5" a="1"/>
  <c r="E101" i="5" s="1"/>
  <c r="G101" i="5" a="1"/>
  <c r="G101" i="5" s="1"/>
  <c r="C101" i="5" a="1"/>
  <c r="C101" i="5" s="1"/>
  <c r="J101" i="5" s="1" a="1"/>
  <c r="J101" i="5" s="1"/>
  <c r="F101" i="5" a="1"/>
  <c r="F101" i="5" s="1"/>
  <c r="H101" i="5" a="1"/>
  <c r="H101" i="5" s="1"/>
  <c r="F91" i="5" a="1"/>
  <c r="F91" i="5" s="1"/>
  <c r="G91" i="5" a="1"/>
  <c r="G91" i="5" s="1"/>
  <c r="H91" i="5" a="1"/>
  <c r="H91" i="5" s="1"/>
  <c r="C91" i="5" a="1"/>
  <c r="C91" i="5" s="1"/>
  <c r="J91" i="5" s="1" a="1"/>
  <c r="J91" i="5" s="1"/>
  <c r="D91" i="5" a="1"/>
  <c r="D91" i="5" s="1"/>
  <c r="AB91" i="5" s="1"/>
  <c r="E91" i="5" a="1"/>
  <c r="E91" i="5" s="1"/>
  <c r="C85" i="5" a="1"/>
  <c r="C85" i="5" s="1"/>
  <c r="J85" i="5" s="1" a="1"/>
  <c r="J85" i="5" s="1"/>
  <c r="E85" i="5" a="1"/>
  <c r="E85" i="5" s="1"/>
  <c r="D85" i="5" a="1"/>
  <c r="D85" i="5" s="1"/>
  <c r="AB85" i="5" s="1"/>
  <c r="F85" i="5" a="1"/>
  <c r="F85" i="5" s="1"/>
  <c r="G85" i="5" a="1"/>
  <c r="G85" i="5" s="1"/>
  <c r="H85" i="5" a="1"/>
  <c r="H85" i="5" s="1"/>
  <c r="E102" i="5" a="1"/>
  <c r="E102" i="5" s="1"/>
  <c r="C102" i="5" a="1"/>
  <c r="C102" i="5" s="1"/>
  <c r="J102" i="5" s="1" a="1"/>
  <c r="J102" i="5" s="1"/>
  <c r="F102" i="5" a="1"/>
  <c r="F102" i="5" s="1"/>
  <c r="G102" i="5" a="1"/>
  <c r="G102" i="5" s="1"/>
  <c r="I102" i="5" s="1"/>
  <c r="F95" i="5" a="1"/>
  <c r="F95" i="5" s="1"/>
  <c r="D84" i="5" a="1"/>
  <c r="D84" i="5" s="1"/>
  <c r="AB84" i="5" s="1"/>
  <c r="F84" i="5" a="1"/>
  <c r="F84" i="5" s="1"/>
  <c r="G84" i="5" a="1"/>
  <c r="G84" i="5" s="1"/>
  <c r="H84" i="5" a="1"/>
  <c r="H84" i="5" s="1"/>
  <c r="C84" i="5" a="1"/>
  <c r="C84" i="5" s="1"/>
  <c r="J84" i="5" s="1" a="1"/>
  <c r="J84" i="5" s="1"/>
  <c r="E84" i="5" a="1"/>
  <c r="E84" i="5" s="1"/>
  <c r="D111" i="5" a="1"/>
  <c r="D111" i="5" s="1"/>
  <c r="AB111" i="5" s="1"/>
  <c r="F98" i="5" a="1"/>
  <c r="F98" i="5" s="1"/>
  <c r="D98" i="5" a="1"/>
  <c r="D98" i="5" s="1"/>
  <c r="AB98" i="5" s="1"/>
  <c r="C98" i="5" a="1"/>
  <c r="C98" i="5" s="1"/>
  <c r="J98" i="5" s="1" a="1"/>
  <c r="J98" i="5" s="1"/>
  <c r="G98" i="5" a="1"/>
  <c r="G98" i="5" s="1"/>
  <c r="I98" i="5" s="1"/>
  <c r="H98" i="5" a="1"/>
  <c r="H98" i="5" s="1"/>
  <c r="E93" i="5" a="1"/>
  <c r="E93" i="5" s="1"/>
  <c r="F93" i="5" a="1"/>
  <c r="F93" i="5" s="1"/>
  <c r="G93" i="5" a="1"/>
  <c r="G93" i="5" s="1"/>
  <c r="I93" i="5" s="1"/>
  <c r="H93" i="5" a="1"/>
  <c r="H93" i="5" s="1"/>
  <c r="C93" i="5" a="1"/>
  <c r="C93" i="5" s="1"/>
  <c r="J93" i="5" s="1" a="1"/>
  <c r="J93" i="5" s="1"/>
  <c r="D93" i="5" a="1"/>
  <c r="D93" i="5" s="1"/>
  <c r="AB93" i="5" s="1"/>
  <c r="AA88" i="5"/>
  <c r="AC88" i="5"/>
  <c r="S88" i="5"/>
  <c r="E99" i="5" a="1"/>
  <c r="E99" i="5" s="1"/>
  <c r="G95" i="5" a="1"/>
  <c r="G95" i="5" s="1"/>
  <c r="Q95" i="5" s="1"/>
  <c r="R95" i="5" s="1"/>
  <c r="H95" i="5" a="1"/>
  <c r="H95" i="5" s="1"/>
  <c r="E95" i="5" a="1"/>
  <c r="E95" i="5" s="1"/>
  <c r="D95" i="5" a="1"/>
  <c r="D95" i="5" s="1"/>
  <c r="AB95" i="5" s="1"/>
  <c r="H80" i="5" a="1"/>
  <c r="H80" i="5" s="1"/>
  <c r="D80" i="5" a="1"/>
  <c r="D80" i="5" s="1"/>
  <c r="AB80" i="5" s="1"/>
  <c r="C80" i="5" a="1"/>
  <c r="C80" i="5" s="1"/>
  <c r="J80" i="5" s="1" a="1"/>
  <c r="J80" i="5" s="1"/>
  <c r="E80" i="5" a="1"/>
  <c r="E80" i="5" s="1"/>
  <c r="F80" i="5" a="1"/>
  <c r="F80" i="5" s="1"/>
  <c r="G80" i="5" a="1"/>
  <c r="G80" i="5" s="1"/>
  <c r="AC73" i="5"/>
  <c r="S73" i="5"/>
  <c r="AA73" i="5"/>
  <c r="I88" i="5"/>
  <c r="D86" i="5" a="1"/>
  <c r="D86" i="5" s="1"/>
  <c r="AB86" i="5" s="1"/>
  <c r="F86" i="5" a="1"/>
  <c r="F86" i="5" s="1"/>
  <c r="C86" i="5" a="1"/>
  <c r="C86" i="5" s="1"/>
  <c r="J86" i="5" s="1" a="1"/>
  <c r="J86" i="5" s="1"/>
  <c r="E86" i="5" a="1"/>
  <c r="E86" i="5" s="1"/>
  <c r="G86" i="5" a="1"/>
  <c r="G86" i="5" s="1"/>
  <c r="H86" i="5" a="1"/>
  <c r="H86" i="5" s="1"/>
  <c r="G89" i="5" a="1"/>
  <c r="G89" i="5" s="1"/>
  <c r="I89" i="5" s="1"/>
  <c r="C89" i="5" a="1"/>
  <c r="C89" i="5" s="1"/>
  <c r="J89" i="5" s="1" a="1"/>
  <c r="J89" i="5" s="1"/>
  <c r="D89" i="5" a="1"/>
  <c r="D89" i="5" s="1"/>
  <c r="AB89" i="5" s="1"/>
  <c r="AC89" i="5" s="1"/>
  <c r="H88" i="5" a="1"/>
  <c r="H88" i="5" s="1"/>
  <c r="D88" i="5" a="1"/>
  <c r="D88" i="5" s="1"/>
  <c r="AB88" i="5" s="1"/>
  <c r="C88" i="5" a="1"/>
  <c r="C88" i="5" s="1"/>
  <c r="J88" i="5" s="1" a="1"/>
  <c r="J88" i="5" s="1"/>
  <c r="E88" i="5" a="1"/>
  <c r="E88" i="5" s="1"/>
  <c r="C83" i="5" a="1"/>
  <c r="C83" i="5" s="1"/>
  <c r="J83" i="5" s="1" a="1"/>
  <c r="J83" i="5" s="1"/>
  <c r="D83" i="5" a="1"/>
  <c r="D83" i="5" s="1"/>
  <c r="AB83" i="5" s="1"/>
  <c r="E83" i="5" a="1"/>
  <c r="E83" i="5" s="1"/>
  <c r="F83" i="5" a="1"/>
  <c r="F83" i="5" s="1"/>
  <c r="G83" i="5" a="1"/>
  <c r="G83" i="5" s="1"/>
  <c r="I83" i="5" s="1"/>
  <c r="E87" i="5" a="1"/>
  <c r="E87" i="5" s="1"/>
  <c r="G87" i="5" a="1"/>
  <c r="G87" i="5" s="1"/>
  <c r="I87" i="5" s="1"/>
  <c r="C87" i="5" a="1"/>
  <c r="C87" i="5" s="1"/>
  <c r="J87" i="5" s="1" a="1"/>
  <c r="J87" i="5" s="1"/>
  <c r="D87" i="5" a="1"/>
  <c r="D87" i="5" s="1"/>
  <c r="AB87" i="5" s="1"/>
  <c r="F87" i="5" a="1"/>
  <c r="F87" i="5" s="1"/>
  <c r="H87" i="5" a="1"/>
  <c r="H87" i="5" s="1"/>
  <c r="D72" i="5" a="1"/>
  <c r="D72" i="5" s="1"/>
  <c r="AB72" i="5" s="1"/>
  <c r="F72" i="5" a="1"/>
  <c r="F72" i="5" s="1"/>
  <c r="E72" i="5" a="1"/>
  <c r="E72" i="5" s="1"/>
  <c r="C72" i="5" a="1"/>
  <c r="C72" i="5" s="1"/>
  <c r="J72" i="5" s="1" a="1"/>
  <c r="J72" i="5" s="1"/>
  <c r="H72" i="5" a="1"/>
  <c r="H72" i="5" s="1"/>
  <c r="D79" i="5" a="1"/>
  <c r="D79" i="5" s="1"/>
  <c r="AB79" i="5" s="1"/>
  <c r="E79" i="5" a="1"/>
  <c r="E79" i="5" s="1"/>
  <c r="C79" i="5" a="1"/>
  <c r="C79" i="5" s="1"/>
  <c r="J79" i="5" s="1" a="1"/>
  <c r="J79" i="5" s="1"/>
  <c r="F79" i="5" a="1"/>
  <c r="F79" i="5" s="1"/>
  <c r="G79" i="5" a="1"/>
  <c r="G79" i="5" s="1"/>
  <c r="I79" i="5" s="1"/>
  <c r="AA81" i="5"/>
  <c r="L68" i="5" a="1"/>
  <c r="L68" i="5" s="1"/>
  <c r="Q68" i="5" s="1"/>
  <c r="R68" i="5" s="1"/>
  <c r="K68" i="5" a="1"/>
  <c r="K68" i="5" s="1"/>
  <c r="M68" i="5" a="1"/>
  <c r="M68" i="5" s="1"/>
  <c r="O68" i="5" a="1"/>
  <c r="O68" i="5" s="1"/>
  <c r="N68" i="5" a="1"/>
  <c r="N68" i="5" s="1"/>
  <c r="U68" i="5" a="1"/>
  <c r="U68" i="5" s="1"/>
  <c r="L64" i="5" a="1"/>
  <c r="L64" i="5" s="1"/>
  <c r="Q64" i="5" s="1"/>
  <c r="R64" i="5" s="1"/>
  <c r="M64" i="5" a="1"/>
  <c r="M64" i="5" s="1"/>
  <c r="U64" i="5" a="1"/>
  <c r="U64" i="5" s="1"/>
  <c r="O64" i="5" a="1"/>
  <c r="O64" i="5" s="1"/>
  <c r="N64" i="5" a="1"/>
  <c r="N64" i="5" s="1"/>
  <c r="K64" i="5" a="1"/>
  <c r="K64" i="5" s="1"/>
  <c r="P64" i="5" s="1"/>
  <c r="D81" i="5" a="1"/>
  <c r="D81" i="5" s="1"/>
  <c r="AB81" i="5" s="1"/>
  <c r="AC81" i="5" s="1"/>
  <c r="G81" i="5" a="1"/>
  <c r="G81" i="5" s="1"/>
  <c r="I81" i="5" s="1"/>
  <c r="C81" i="5" a="1"/>
  <c r="C81" i="5" s="1"/>
  <c r="J81" i="5" s="1" a="1"/>
  <c r="J81" i="5" s="1"/>
  <c r="E81" i="5" a="1"/>
  <c r="E81" i="5" s="1"/>
  <c r="H81" i="5" a="1"/>
  <c r="H81" i="5" s="1"/>
  <c r="H71" i="5" a="1"/>
  <c r="H71" i="5" s="1"/>
  <c r="C71" i="5" a="1"/>
  <c r="C71" i="5" s="1"/>
  <c r="J71" i="5" s="1" a="1"/>
  <c r="J71" i="5" s="1"/>
  <c r="D71" i="5" a="1"/>
  <c r="D71" i="5" s="1"/>
  <c r="AB71" i="5" s="1"/>
  <c r="E71" i="5" a="1"/>
  <c r="E71" i="5" s="1"/>
  <c r="F71" i="5" a="1"/>
  <c r="F71" i="5" s="1"/>
  <c r="G71" i="5" a="1"/>
  <c r="G71" i="5" s="1"/>
  <c r="M63" i="5" a="1"/>
  <c r="M63" i="5" s="1"/>
  <c r="O63" i="5" a="1"/>
  <c r="O63" i="5" s="1"/>
  <c r="K63" i="5" a="1"/>
  <c r="K63" i="5" s="1"/>
  <c r="L63" i="5" a="1"/>
  <c r="L63" i="5" s="1"/>
  <c r="Q63" i="5" s="1"/>
  <c r="R63" i="5" s="1"/>
  <c r="U63" i="5" a="1"/>
  <c r="U63" i="5" s="1"/>
  <c r="N63" i="5" a="1"/>
  <c r="N63" i="5" s="1"/>
  <c r="O82" i="5" a="1"/>
  <c r="O82" i="5" s="1"/>
  <c r="P82" i="5"/>
  <c r="U82" i="5" a="1"/>
  <c r="U82" i="5" s="1"/>
  <c r="L82" i="5" a="1"/>
  <c r="L82" i="5" s="1"/>
  <c r="Q82" i="5" s="1"/>
  <c r="R82" i="5" s="1"/>
  <c r="M82" i="5" a="1"/>
  <c r="M82" i="5" s="1"/>
  <c r="N82" i="5" a="1"/>
  <c r="N82" i="5" s="1"/>
  <c r="K82" i="5" a="1"/>
  <c r="K82" i="5" s="1"/>
  <c r="E67" i="5" a="1"/>
  <c r="E67" i="5" s="1"/>
  <c r="H67" i="5" a="1"/>
  <c r="H67" i="5" s="1"/>
  <c r="C67" i="5" a="1"/>
  <c r="C67" i="5" s="1"/>
  <c r="J67" i="5" s="1" a="1"/>
  <c r="J67" i="5" s="1"/>
  <c r="F67" i="5" a="1"/>
  <c r="F67" i="5" s="1"/>
  <c r="D67" i="5" a="1"/>
  <c r="D67" i="5" s="1"/>
  <c r="AB67" i="5" s="1"/>
  <c r="G67" i="5" a="1"/>
  <c r="G67" i="5" s="1"/>
  <c r="I67" i="5" s="1"/>
  <c r="S89" i="5"/>
  <c r="AA89" i="5"/>
  <c r="C78" i="5" a="1"/>
  <c r="C78" i="5" s="1"/>
  <c r="J78" i="5" s="1" a="1"/>
  <c r="J78" i="5" s="1"/>
  <c r="E78" i="5" a="1"/>
  <c r="E78" i="5" s="1"/>
  <c r="G78" i="5" a="1"/>
  <c r="G78" i="5" s="1"/>
  <c r="F78" i="5" a="1"/>
  <c r="F78" i="5" s="1"/>
  <c r="H78" i="5" a="1"/>
  <c r="H78" i="5" s="1"/>
  <c r="D78" i="5" a="1"/>
  <c r="D78" i="5" s="1"/>
  <c r="AB78" i="5" s="1"/>
  <c r="K59" i="5" a="1"/>
  <c r="K59" i="5" s="1"/>
  <c r="P59" i="5" s="1"/>
  <c r="M59" i="5" a="1"/>
  <c r="M59" i="5" s="1"/>
  <c r="N59" i="5" a="1"/>
  <c r="N59" i="5" s="1"/>
  <c r="L59" i="5" a="1"/>
  <c r="L59" i="5" s="1"/>
  <c r="Q59" i="5"/>
  <c r="R59" i="5" s="1"/>
  <c r="U59" i="5" a="1"/>
  <c r="U59" i="5" s="1"/>
  <c r="O59" i="5" a="1"/>
  <c r="O59" i="5" s="1"/>
  <c r="AA57" i="5"/>
  <c r="S57" i="5"/>
  <c r="H76" i="5" a="1"/>
  <c r="H76" i="5" s="1"/>
  <c r="C76" i="5" a="1"/>
  <c r="C76" i="5" s="1"/>
  <c r="J76" i="5" s="1" a="1"/>
  <c r="J76" i="5" s="1"/>
  <c r="E76" i="5" a="1"/>
  <c r="E76" i="5" s="1"/>
  <c r="G76" i="5" a="1"/>
  <c r="G76" i="5" s="1"/>
  <c r="K50" i="5" a="1"/>
  <c r="K50" i="5" s="1"/>
  <c r="M50" i="5" a="1"/>
  <c r="M50" i="5" s="1"/>
  <c r="O50" i="5" a="1"/>
  <c r="O50" i="5" s="1"/>
  <c r="L50" i="5" a="1"/>
  <c r="L50" i="5" s="1"/>
  <c r="Q50" i="5" s="1"/>
  <c r="R50" i="5" s="1"/>
  <c r="N50" i="5" a="1"/>
  <c r="N50" i="5" s="1"/>
  <c r="U50" i="5" a="1"/>
  <c r="U50" i="5" s="1"/>
  <c r="S70" i="5"/>
  <c r="U41" i="5" a="1"/>
  <c r="U41" i="5" s="1"/>
  <c r="K41" i="5" a="1"/>
  <c r="K41" i="5" s="1"/>
  <c r="P41" i="5" s="1"/>
  <c r="Q41" i="5"/>
  <c r="R41" i="5" s="1"/>
  <c r="L41" i="5" a="1"/>
  <c r="L41" i="5" s="1"/>
  <c r="M41" i="5" a="1"/>
  <c r="M41" i="5" s="1"/>
  <c r="N41" i="5" a="1"/>
  <c r="N41" i="5" s="1"/>
  <c r="O41" i="5" a="1"/>
  <c r="O41" i="5" s="1"/>
  <c r="D75" i="5" a="1"/>
  <c r="D75" i="5" s="1"/>
  <c r="AB75" i="5" s="1"/>
  <c r="F75" i="5" a="1"/>
  <c r="F75" i="5" s="1"/>
  <c r="C75" i="5" a="1"/>
  <c r="C75" i="5" s="1"/>
  <c r="J75" i="5" s="1" a="1"/>
  <c r="J75" i="5" s="1"/>
  <c r="E75" i="5" a="1"/>
  <c r="E75" i="5" s="1"/>
  <c r="H75" i="5" a="1"/>
  <c r="H75" i="5" s="1"/>
  <c r="I75" i="5" s="1"/>
  <c r="H73" i="5" a="1"/>
  <c r="H73" i="5" s="1"/>
  <c r="G82" i="5" a="1"/>
  <c r="G82" i="5" s="1"/>
  <c r="E82" i="5" a="1"/>
  <c r="E82" i="5" s="1"/>
  <c r="C74" i="5" a="1"/>
  <c r="C74" i="5" s="1"/>
  <c r="J74" i="5" s="1" a="1"/>
  <c r="J74" i="5" s="1"/>
  <c r="F74" i="5" a="1"/>
  <c r="F74" i="5" s="1"/>
  <c r="D74" i="5" a="1"/>
  <c r="D74" i="5" s="1"/>
  <c r="AB74" i="5" s="1"/>
  <c r="G74" i="5" a="1"/>
  <c r="G74" i="5" s="1"/>
  <c r="I74" i="5" s="1"/>
  <c r="H70" i="5" a="1"/>
  <c r="H70" i="5" s="1"/>
  <c r="D70" i="5" a="1"/>
  <c r="D70" i="5" s="1"/>
  <c r="AB70" i="5" s="1"/>
  <c r="AC70" i="5" s="1"/>
  <c r="E70" i="5" a="1"/>
  <c r="E70" i="5" s="1"/>
  <c r="G70" i="5" a="1"/>
  <c r="G70" i="5" s="1"/>
  <c r="I70" i="5" s="1"/>
  <c r="C70" i="5" a="1"/>
  <c r="C70" i="5" s="1"/>
  <c r="J70" i="5" s="1" a="1"/>
  <c r="J70" i="5" s="1"/>
  <c r="K40" i="5" a="1"/>
  <c r="K40" i="5" s="1"/>
  <c r="P40" i="5" s="1"/>
  <c r="L40" i="5" a="1"/>
  <c r="L40" i="5" s="1"/>
  <c r="M40" i="5" a="1"/>
  <c r="M40" i="5" s="1"/>
  <c r="N40" i="5" a="1"/>
  <c r="N40" i="5" s="1"/>
  <c r="Q40" i="5"/>
  <c r="R40" i="5" s="1"/>
  <c r="O40" i="5" a="1"/>
  <c r="O40" i="5" s="1"/>
  <c r="U40" i="5" a="1"/>
  <c r="U40" i="5" s="1"/>
  <c r="G65" i="5" a="1"/>
  <c r="G65" i="5" s="1"/>
  <c r="I65" i="5" s="1"/>
  <c r="C65" i="5" a="1"/>
  <c r="C65" i="5" s="1"/>
  <c r="J65" i="5" s="1" a="1"/>
  <c r="J65" i="5" s="1"/>
  <c r="F65" i="5" a="1"/>
  <c r="F65" i="5" s="1"/>
  <c r="H65" i="5" a="1"/>
  <c r="H65" i="5" s="1"/>
  <c r="D65" i="5" a="1"/>
  <c r="D65" i="5" s="1"/>
  <c r="AB65" i="5" s="1"/>
  <c r="C73" i="5" a="1"/>
  <c r="C73" i="5" s="1"/>
  <c r="J73" i="5" s="1" a="1"/>
  <c r="J73" i="5" s="1"/>
  <c r="E73" i="5" a="1"/>
  <c r="E73" i="5" s="1"/>
  <c r="G73" i="5" a="1"/>
  <c r="G73" i="5" s="1"/>
  <c r="I73" i="5" s="1"/>
  <c r="AA70" i="5"/>
  <c r="N53" i="5" a="1"/>
  <c r="N53" i="5" s="1"/>
  <c r="O53" i="5" a="1"/>
  <c r="O53" i="5" s="1"/>
  <c r="U53" i="5" a="1"/>
  <c r="U53" i="5" s="1"/>
  <c r="K53" i="5" a="1"/>
  <c r="K53" i="5" s="1"/>
  <c r="P53" i="5" s="1"/>
  <c r="L53" i="5" a="1"/>
  <c r="L53" i="5" s="1"/>
  <c r="Q53" i="5" s="1"/>
  <c r="R53" i="5" s="1"/>
  <c r="M53" i="5" a="1"/>
  <c r="M53" i="5" s="1"/>
  <c r="G77" i="5" a="1"/>
  <c r="G77" i="5" s="1"/>
  <c r="I77" i="5" s="1"/>
  <c r="H62" i="5" a="1"/>
  <c r="H62" i="5" s="1"/>
  <c r="G62" i="5" a="1"/>
  <c r="G62" i="5" s="1"/>
  <c r="I62" i="5" s="1"/>
  <c r="C62" i="5" a="1"/>
  <c r="C62" i="5" s="1"/>
  <c r="J62" i="5" s="1" a="1"/>
  <c r="J62" i="5" s="1"/>
  <c r="D62" i="5" a="1"/>
  <c r="D62" i="5" s="1"/>
  <c r="AB62" i="5" s="1"/>
  <c r="E62" i="5" a="1"/>
  <c r="E62" i="5" s="1"/>
  <c r="F62" i="5" a="1"/>
  <c r="F62" i="5" s="1"/>
  <c r="P58" i="5"/>
  <c r="M43" i="5" a="1"/>
  <c r="M43" i="5" s="1"/>
  <c r="U43" i="5" a="1"/>
  <c r="U43" i="5" s="1"/>
  <c r="L43" i="5" a="1"/>
  <c r="L43" i="5" s="1"/>
  <c r="Q43" i="5" s="1"/>
  <c r="R43" i="5" s="1"/>
  <c r="K43" i="5" a="1"/>
  <c r="K43" i="5" s="1"/>
  <c r="P43" i="5" s="1"/>
  <c r="N43" i="5" a="1"/>
  <c r="N43" i="5" s="1"/>
  <c r="O43" i="5" a="1"/>
  <c r="O43" i="5" s="1"/>
  <c r="M52" i="5" a="1"/>
  <c r="M52" i="5" s="1"/>
  <c r="O52" i="5" a="1"/>
  <c r="O52" i="5" s="1"/>
  <c r="P52" i="5"/>
  <c r="U52" i="5" a="1"/>
  <c r="U52" i="5" s="1"/>
  <c r="K52" i="5" a="1"/>
  <c r="K52" i="5" s="1"/>
  <c r="L52" i="5" a="1"/>
  <c r="L52" i="5" s="1"/>
  <c r="Q52" i="5" s="1"/>
  <c r="R52" i="5" s="1"/>
  <c r="N52" i="5" a="1"/>
  <c r="N52" i="5" s="1"/>
  <c r="F68" i="5" a="1"/>
  <c r="F68" i="5" s="1"/>
  <c r="H68" i="5" a="1"/>
  <c r="H68" i="5" s="1"/>
  <c r="I68" i="5" s="1"/>
  <c r="D68" i="5" a="1"/>
  <c r="D68" i="5" s="1"/>
  <c r="AB68" i="5" s="1"/>
  <c r="F52" i="5" a="1"/>
  <c r="F52" i="5" s="1"/>
  <c r="H52" i="5" a="1"/>
  <c r="H52" i="5" s="1"/>
  <c r="D52" i="5" a="1"/>
  <c r="D52" i="5" s="1"/>
  <c r="AB52" i="5" s="1"/>
  <c r="G52" i="5" a="1"/>
  <c r="G52" i="5" s="1"/>
  <c r="I52" i="5" s="1"/>
  <c r="E52" i="5" a="1"/>
  <c r="E52" i="5" s="1"/>
  <c r="H82" i="5" a="1"/>
  <c r="H82" i="5" s="1"/>
  <c r="AC57" i="5"/>
  <c r="E77" i="5" a="1"/>
  <c r="E77" i="5" s="1"/>
  <c r="F77" i="5" a="1"/>
  <c r="F77" i="5" s="1"/>
  <c r="F76" i="5" a="1"/>
  <c r="F76" i="5" s="1"/>
  <c r="H66" i="5" a="1"/>
  <c r="H66" i="5" s="1"/>
  <c r="I66" i="5" s="1"/>
  <c r="D66" i="5" a="1"/>
  <c r="D66" i="5" s="1"/>
  <c r="AB66" i="5" s="1"/>
  <c r="E66" i="5" a="1"/>
  <c r="E66" i="5" s="1"/>
  <c r="C66" i="5" a="1"/>
  <c r="C66" i="5" s="1"/>
  <c r="J66" i="5" s="1" a="1"/>
  <c r="J66" i="5" s="1"/>
  <c r="F66" i="5" a="1"/>
  <c r="F66" i="5" s="1"/>
  <c r="G69" i="5" a="1"/>
  <c r="G69" i="5" s="1"/>
  <c r="I69" i="5" s="1"/>
  <c r="F69" i="5" a="1"/>
  <c r="F69" i="5" s="1"/>
  <c r="C69" i="5" a="1"/>
  <c r="C69" i="5" s="1"/>
  <c r="J69" i="5" s="1" a="1"/>
  <c r="J69" i="5" s="1"/>
  <c r="D69" i="5" a="1"/>
  <c r="D69" i="5" s="1"/>
  <c r="AB69" i="5" s="1"/>
  <c r="E69" i="5" a="1"/>
  <c r="E69" i="5" s="1"/>
  <c r="H69" i="5" a="1"/>
  <c r="H69" i="5" s="1"/>
  <c r="AA56" i="5"/>
  <c r="S56" i="5"/>
  <c r="AA54" i="5"/>
  <c r="S54" i="5"/>
  <c r="Q49" i="5"/>
  <c r="R49" i="5" s="1"/>
  <c r="M49" i="5" a="1"/>
  <c r="M49" i="5" s="1"/>
  <c r="N49" i="5" a="1"/>
  <c r="N49" i="5" s="1"/>
  <c r="P49" i="5"/>
  <c r="U49" i="5" a="1"/>
  <c r="U49" i="5" s="1"/>
  <c r="K49" i="5" a="1"/>
  <c r="K49" i="5" s="1"/>
  <c r="E44" i="5" a="1"/>
  <c r="E44" i="5" s="1"/>
  <c r="C44" i="5" a="1"/>
  <c r="C44" i="5" s="1"/>
  <c r="J44" i="5" s="1" a="1"/>
  <c r="J44" i="5" s="1"/>
  <c r="F44" i="5" a="1"/>
  <c r="F44" i="5" s="1"/>
  <c r="D44" i="5" a="1"/>
  <c r="D44" i="5" s="1"/>
  <c r="AB44" i="5" s="1"/>
  <c r="H44" i="5" a="1"/>
  <c r="H44" i="5" s="1"/>
  <c r="G44" i="5" a="1"/>
  <c r="G44" i="5" s="1"/>
  <c r="I44" i="5" s="1"/>
  <c r="O25" i="5" a="1"/>
  <c r="O25" i="5" s="1"/>
  <c r="N25" i="5" a="1"/>
  <c r="N25" i="5" s="1"/>
  <c r="Q25" i="5"/>
  <c r="R25" i="5" s="1"/>
  <c r="U25" i="5" a="1"/>
  <c r="U25" i="5" s="1"/>
  <c r="K25" i="5" a="1"/>
  <c r="K25" i="5" s="1"/>
  <c r="P25" i="5" s="1"/>
  <c r="M25" i="5" a="1"/>
  <c r="M25" i="5" s="1"/>
  <c r="L25" i="5" a="1"/>
  <c r="L25" i="5" s="1"/>
  <c r="F64" i="5" a="1"/>
  <c r="F64" i="5" s="1"/>
  <c r="H64" i="5" a="1"/>
  <c r="H64" i="5" s="1"/>
  <c r="I64" i="5" s="1"/>
  <c r="D64" i="5" a="1"/>
  <c r="D64" i="5" s="1"/>
  <c r="AB64" i="5" s="1"/>
  <c r="E64" i="5" a="1"/>
  <c r="E64" i="5" s="1"/>
  <c r="AA61" i="5"/>
  <c r="AC61" i="5"/>
  <c r="F60" i="5" a="1"/>
  <c r="F60" i="5" s="1"/>
  <c r="C60" i="5" a="1"/>
  <c r="C60" i="5" s="1"/>
  <c r="J60" i="5" s="1" a="1"/>
  <c r="J60" i="5" s="1"/>
  <c r="G60" i="5" a="1"/>
  <c r="G60" i="5" s="1"/>
  <c r="I60" i="5" s="1"/>
  <c r="H60" i="5" a="1"/>
  <c r="H60" i="5" s="1"/>
  <c r="C55" i="5" a="1"/>
  <c r="C55" i="5" s="1"/>
  <c r="J55" i="5" s="1" a="1"/>
  <c r="J55" i="5" s="1"/>
  <c r="D55" i="5" a="1"/>
  <c r="D55" i="5" s="1"/>
  <c r="AB55" i="5" s="1"/>
  <c r="F55" i="5" a="1"/>
  <c r="F55" i="5" s="1"/>
  <c r="G55" i="5" a="1"/>
  <c r="G55" i="5" s="1"/>
  <c r="H55" i="5" a="1"/>
  <c r="H55" i="5" s="1"/>
  <c r="E55" i="5" a="1"/>
  <c r="E55" i="5" s="1"/>
  <c r="G53" i="5" a="1"/>
  <c r="G53" i="5" s="1"/>
  <c r="D53" i="5" a="1"/>
  <c r="D53" i="5" s="1"/>
  <c r="AB53" i="5" s="1"/>
  <c r="F53" i="5" a="1"/>
  <c r="F53" i="5" s="1"/>
  <c r="H53" i="5" a="1"/>
  <c r="H53" i="5" s="1"/>
  <c r="E53" i="5" a="1"/>
  <c r="E53" i="5" s="1"/>
  <c r="H47" i="5" a="1"/>
  <c r="H47" i="5" s="1"/>
  <c r="F47" i="5" a="1"/>
  <c r="F47" i="5" s="1"/>
  <c r="G47" i="5" a="1"/>
  <c r="G47" i="5" s="1"/>
  <c r="C47" i="5" a="1"/>
  <c r="C47" i="5" s="1"/>
  <c r="J47" i="5" s="1" a="1"/>
  <c r="J47" i="5" s="1"/>
  <c r="D47" i="5" a="1"/>
  <c r="D47" i="5" s="1"/>
  <c r="AB47" i="5" s="1"/>
  <c r="E47" i="5" a="1"/>
  <c r="E47" i="5" s="1"/>
  <c r="AC54" i="5"/>
  <c r="U58" i="5" a="1"/>
  <c r="U58" i="5" s="1"/>
  <c r="K58" i="5" a="1"/>
  <c r="K58" i="5" s="1"/>
  <c r="M58" i="5" a="1"/>
  <c r="M58" i="5" s="1"/>
  <c r="L58" i="5" a="1"/>
  <c r="L58" i="5" s="1"/>
  <c r="Q58" i="5" s="1"/>
  <c r="R58" i="5" s="1"/>
  <c r="N58" i="5" a="1"/>
  <c r="N58" i="5" s="1"/>
  <c r="E36" i="5" a="1"/>
  <c r="E36" i="5" s="1"/>
  <c r="F36" i="5" a="1"/>
  <c r="F36" i="5" s="1"/>
  <c r="G36" i="5" a="1"/>
  <c r="G36" i="5" s="1"/>
  <c r="H36" i="5" a="1"/>
  <c r="H36" i="5" s="1"/>
  <c r="C36" i="5" a="1"/>
  <c r="C36" i="5" s="1"/>
  <c r="J36" i="5" s="1" a="1"/>
  <c r="J36" i="5" s="1"/>
  <c r="D36" i="5" a="1"/>
  <c r="D36" i="5" s="1"/>
  <c r="AB36" i="5" s="1"/>
  <c r="G48" i="5" a="1"/>
  <c r="G48" i="5" s="1"/>
  <c r="C48" i="5" a="1"/>
  <c r="C48" i="5" s="1"/>
  <c r="J48" i="5" s="1" a="1"/>
  <c r="J48" i="5" s="1"/>
  <c r="E48" i="5" a="1"/>
  <c r="E48" i="5" s="1"/>
  <c r="F48" i="5" a="1"/>
  <c r="F48" i="5" s="1"/>
  <c r="S42" i="5"/>
  <c r="AA42" i="5"/>
  <c r="H39" i="5" a="1"/>
  <c r="H39" i="5" s="1"/>
  <c r="D39" i="5" a="1"/>
  <c r="D39" i="5" s="1"/>
  <c r="AB39" i="5" s="1"/>
  <c r="F39" i="5" a="1"/>
  <c r="F39" i="5" s="1"/>
  <c r="C39" i="5" a="1"/>
  <c r="C39" i="5" s="1"/>
  <c r="J39" i="5" s="1" a="1"/>
  <c r="J39" i="5" s="1"/>
  <c r="G39" i="5" a="1"/>
  <c r="G39" i="5" s="1"/>
  <c r="I39" i="5" s="1"/>
  <c r="E39" i="5" a="1"/>
  <c r="E39" i="5" s="1"/>
  <c r="N32" i="5" a="1"/>
  <c r="N32" i="5" s="1"/>
  <c r="O32" i="5" a="1"/>
  <c r="O32" i="5" s="1"/>
  <c r="U32" i="5" a="1"/>
  <c r="U32" i="5" s="1"/>
  <c r="K32" i="5" a="1"/>
  <c r="K32" i="5" s="1"/>
  <c r="L32" i="5" a="1"/>
  <c r="L32" i="5" s="1"/>
  <c r="Q32" i="5" s="1"/>
  <c r="R32" i="5" s="1"/>
  <c r="M32" i="5" a="1"/>
  <c r="M32" i="5" s="1"/>
  <c r="P32" i="5"/>
  <c r="E51" i="5" a="1"/>
  <c r="E51" i="5" s="1"/>
  <c r="G51" i="5" a="1"/>
  <c r="G51" i="5" s="1"/>
  <c r="H51" i="5" a="1"/>
  <c r="H51" i="5" s="1"/>
  <c r="C51" i="5" a="1"/>
  <c r="C51" i="5" s="1"/>
  <c r="J51" i="5" s="1" a="1"/>
  <c r="J51" i="5" s="1"/>
  <c r="D51" i="5" a="1"/>
  <c r="D51" i="5" s="1"/>
  <c r="AB51" i="5" s="1"/>
  <c r="F51" i="5" a="1"/>
  <c r="F51" i="5" s="1"/>
  <c r="F45" i="5" a="1"/>
  <c r="F45" i="5" s="1"/>
  <c r="D45" i="5" a="1"/>
  <c r="D45" i="5" s="1"/>
  <c r="AB45" i="5" s="1"/>
  <c r="C45" i="5" a="1"/>
  <c r="C45" i="5" s="1"/>
  <c r="J45" i="5" s="1" a="1"/>
  <c r="J45" i="5" s="1"/>
  <c r="G45" i="5" a="1"/>
  <c r="G45" i="5" s="1"/>
  <c r="I45" i="5" s="1"/>
  <c r="G59" i="5" a="1"/>
  <c r="G59" i="5" s="1"/>
  <c r="I59" i="5" s="1"/>
  <c r="C57" i="5" a="1"/>
  <c r="C57" i="5" s="1"/>
  <c r="J57" i="5" s="1" a="1"/>
  <c r="J57" i="5" s="1"/>
  <c r="E57" i="5" a="1"/>
  <c r="E57" i="5" s="1"/>
  <c r="G57" i="5" a="1"/>
  <c r="G57" i="5" s="1"/>
  <c r="I57" i="5" s="1"/>
  <c r="H57" i="5" a="1"/>
  <c r="H57" i="5" s="1"/>
  <c r="H46" i="5" a="1"/>
  <c r="H46" i="5" s="1"/>
  <c r="S40" i="5"/>
  <c r="AA40" i="5"/>
  <c r="F59" i="5" a="1"/>
  <c r="F59" i="5" s="1"/>
  <c r="H49" i="5" a="1"/>
  <c r="H49" i="5" s="1"/>
  <c r="E49" i="5" a="1"/>
  <c r="E49" i="5" s="1"/>
  <c r="F49" i="5" a="1"/>
  <c r="F49" i="5" s="1"/>
  <c r="G49" i="5" a="1"/>
  <c r="G49" i="5" s="1"/>
  <c r="I49" i="5" s="1"/>
  <c r="G38" i="5" a="1"/>
  <c r="G38" i="5" s="1"/>
  <c r="I38" i="5" s="1"/>
  <c r="H38" i="5" a="1"/>
  <c r="H38" i="5" s="1"/>
  <c r="C38" i="5" a="1"/>
  <c r="C38" i="5" s="1"/>
  <c r="J38" i="5" s="1" a="1"/>
  <c r="J38" i="5" s="1"/>
  <c r="E38" i="5" a="1"/>
  <c r="E38" i="5" s="1"/>
  <c r="D38" i="5" a="1"/>
  <c r="D38" i="5" s="1"/>
  <c r="AB38" i="5" s="1"/>
  <c r="F38" i="5" a="1"/>
  <c r="F38" i="5" s="1"/>
  <c r="AC34" i="5"/>
  <c r="S34" i="5"/>
  <c r="AA34" i="5"/>
  <c r="E59" i="5" a="1"/>
  <c r="E59" i="5" s="1"/>
  <c r="H59" i="5" a="1"/>
  <c r="H59" i="5" s="1"/>
  <c r="D59" i="5" a="1"/>
  <c r="D59" i="5" s="1"/>
  <c r="AB59" i="5" s="1"/>
  <c r="G46" i="5" a="1"/>
  <c r="G46" i="5" s="1"/>
  <c r="E46" i="5" a="1"/>
  <c r="E46" i="5" s="1"/>
  <c r="F46" i="5" a="1"/>
  <c r="F46" i="5" s="1"/>
  <c r="C46" i="5" a="1"/>
  <c r="C46" i="5" s="1"/>
  <c r="J46" i="5" s="1" a="1"/>
  <c r="J46" i="5" s="1"/>
  <c r="P34" i="5"/>
  <c r="U34" i="5" a="1"/>
  <c r="U34" i="5" s="1"/>
  <c r="K34" i="5" a="1"/>
  <c r="K34" i="5" s="1"/>
  <c r="L34" i="5" a="1"/>
  <c r="L34" i="5" s="1"/>
  <c r="Q34" i="5" s="1"/>
  <c r="R34" i="5" s="1"/>
  <c r="M34" i="5" a="1"/>
  <c r="M34" i="5" s="1"/>
  <c r="O34" i="5" a="1"/>
  <c r="O34" i="5" s="1"/>
  <c r="N34" i="5" a="1"/>
  <c r="N34" i="5" s="1"/>
  <c r="D27" i="5" a="1"/>
  <c r="D27" i="5" s="1"/>
  <c r="AB27" i="5" s="1"/>
  <c r="E27" i="5" a="1"/>
  <c r="E27" i="5" s="1"/>
  <c r="F27" i="5" a="1"/>
  <c r="F27" i="5" s="1"/>
  <c r="G27" i="5" a="1"/>
  <c r="G27" i="5" s="1"/>
  <c r="H27" i="5" a="1"/>
  <c r="H27" i="5" s="1"/>
  <c r="C27" i="5" a="1"/>
  <c r="C27" i="5" s="1"/>
  <c r="J27" i="5" s="1" a="1"/>
  <c r="J27" i="5" s="1"/>
  <c r="G56" i="5" a="1"/>
  <c r="G56" i="5" s="1"/>
  <c r="H56" i="5" a="1"/>
  <c r="H56" i="5" s="1"/>
  <c r="C56" i="5" a="1"/>
  <c r="C56" i="5" s="1"/>
  <c r="J56" i="5" s="1" a="1"/>
  <c r="J56" i="5" s="1"/>
  <c r="D56" i="5" a="1"/>
  <c r="D56" i="5" s="1"/>
  <c r="AB56" i="5" s="1"/>
  <c r="AC56" i="5" s="1"/>
  <c r="I41" i="5"/>
  <c r="H30" i="5" a="1"/>
  <c r="H30" i="5" s="1"/>
  <c r="D30" i="5" a="1"/>
  <c r="D30" i="5" s="1"/>
  <c r="AB30" i="5" s="1"/>
  <c r="C30" i="5" a="1"/>
  <c r="C30" i="5" s="1"/>
  <c r="J30" i="5" s="1" a="1"/>
  <c r="J30" i="5" s="1"/>
  <c r="F30" i="5" a="1"/>
  <c r="F30" i="5" s="1"/>
  <c r="G30" i="5" a="1"/>
  <c r="G30" i="5" s="1"/>
  <c r="E30" i="5" a="1"/>
  <c r="E30" i="5" s="1"/>
  <c r="AA58" i="5"/>
  <c r="G61" i="5" a="1"/>
  <c r="G61" i="5" s="1"/>
  <c r="I61" i="5" s="1"/>
  <c r="C61" i="5" a="1"/>
  <c r="C61" i="5" s="1"/>
  <c r="J61" i="5" s="1" a="1"/>
  <c r="J61" i="5" s="1"/>
  <c r="I54" i="5"/>
  <c r="F37" i="5" a="1"/>
  <c r="F37" i="5" s="1"/>
  <c r="G37" i="5" a="1"/>
  <c r="G37" i="5" s="1"/>
  <c r="I37" i="5" s="1"/>
  <c r="H37" i="5" a="1"/>
  <c r="H37" i="5" s="1"/>
  <c r="D37" i="5" a="1"/>
  <c r="D37" i="5" s="1"/>
  <c r="AB37" i="5" s="1"/>
  <c r="C37" i="5" a="1"/>
  <c r="C37" i="5" s="1"/>
  <c r="J37" i="5" s="1" a="1"/>
  <c r="J37" i="5" s="1"/>
  <c r="K26" i="5" a="1"/>
  <c r="K26" i="5" s="1"/>
  <c r="P26" i="5" s="1"/>
  <c r="L26" i="5" a="1"/>
  <c r="L26" i="5" s="1"/>
  <c r="Q26" i="5" s="1"/>
  <c r="R26" i="5" s="1"/>
  <c r="M26" i="5" a="1"/>
  <c r="M26" i="5" s="1"/>
  <c r="N26" i="5" a="1"/>
  <c r="N26" i="5" s="1"/>
  <c r="O26" i="5" a="1"/>
  <c r="O26" i="5" s="1"/>
  <c r="U26" i="5" a="1"/>
  <c r="U26" i="5" s="1"/>
  <c r="C33" i="5" a="1"/>
  <c r="C33" i="5" s="1"/>
  <c r="J33" i="5" s="1" a="1"/>
  <c r="J33" i="5" s="1"/>
  <c r="D33" i="5" a="1"/>
  <c r="D33" i="5" s="1"/>
  <c r="AB33" i="5" s="1"/>
  <c r="G33" i="5" a="1"/>
  <c r="G33" i="5" s="1"/>
  <c r="E33" i="5" a="1"/>
  <c r="E33" i="5" s="1"/>
  <c r="F33" i="5" a="1"/>
  <c r="F33" i="5" s="1"/>
  <c r="H33" i="5" a="1"/>
  <c r="H33" i="5" s="1"/>
  <c r="D63" i="5" a="1"/>
  <c r="D63" i="5" s="1"/>
  <c r="AB63" i="5" s="1"/>
  <c r="F63" i="5" a="1"/>
  <c r="F63" i="5" s="1"/>
  <c r="G63" i="5" a="1"/>
  <c r="G63" i="5" s="1"/>
  <c r="I63" i="5" s="1"/>
  <c r="H63" i="5" a="1"/>
  <c r="H63" i="5" s="1"/>
  <c r="D58" i="5" a="1"/>
  <c r="D58" i="5" s="1"/>
  <c r="AB58" i="5" s="1"/>
  <c r="AC58" i="5" s="1"/>
  <c r="H58" i="5" a="1"/>
  <c r="H58" i="5" s="1"/>
  <c r="I58" i="5" s="1"/>
  <c r="H54" i="5" a="1"/>
  <c r="H54" i="5" s="1"/>
  <c r="C54" i="5" a="1"/>
  <c r="C54" i="5" s="1"/>
  <c r="J54" i="5" s="1" a="1"/>
  <c r="J54" i="5" s="1"/>
  <c r="D54" i="5" a="1"/>
  <c r="D54" i="5" s="1"/>
  <c r="AB54" i="5" s="1"/>
  <c r="H48" i="5" a="1"/>
  <c r="H48" i="5" s="1"/>
  <c r="AC40" i="5"/>
  <c r="C24" i="5" a="1"/>
  <c r="C24" i="5" s="1"/>
  <c r="J24" i="5" s="1" a="1"/>
  <c r="J24" i="5" s="1"/>
  <c r="D24" i="5" a="1"/>
  <c r="D24" i="5" s="1"/>
  <c r="AB24" i="5" s="1"/>
  <c r="E24" i="5" a="1"/>
  <c r="E24" i="5" s="1"/>
  <c r="H24" i="5" a="1"/>
  <c r="H24" i="5" s="1"/>
  <c r="G24" i="5" a="1"/>
  <c r="G24" i="5" s="1"/>
  <c r="I24" i="5" s="1"/>
  <c r="D43" i="5" a="1"/>
  <c r="D43" i="5" s="1"/>
  <c r="AB43" i="5" s="1"/>
  <c r="H43" i="5" a="1"/>
  <c r="H43" i="5" s="1"/>
  <c r="G43" i="5" a="1"/>
  <c r="G43" i="5" s="1"/>
  <c r="I43" i="5" s="1"/>
  <c r="C35" i="5" a="1"/>
  <c r="C35" i="5" s="1"/>
  <c r="J35" i="5" s="1" a="1"/>
  <c r="J35" i="5" s="1"/>
  <c r="D35" i="5" a="1"/>
  <c r="D35" i="5" s="1"/>
  <c r="AB35" i="5" s="1"/>
  <c r="E35" i="5" a="1"/>
  <c r="E35" i="5" s="1"/>
  <c r="F35" i="5" a="1"/>
  <c r="F35" i="5" s="1"/>
  <c r="G35" i="5" a="1"/>
  <c r="G35" i="5" s="1"/>
  <c r="H35" i="5" a="1"/>
  <c r="H35" i="5" s="1"/>
  <c r="D26" i="5" a="1"/>
  <c r="D26" i="5" s="1"/>
  <c r="AB26" i="5" s="1"/>
  <c r="H26" i="5" a="1"/>
  <c r="H26" i="5" s="1"/>
  <c r="F26" i="5" a="1"/>
  <c r="F26" i="5" s="1"/>
  <c r="G26" i="5" a="1"/>
  <c r="G26" i="5" s="1"/>
  <c r="I26" i="5" s="1"/>
  <c r="O10" i="5" a="1"/>
  <c r="O10" i="5" s="1"/>
  <c r="U10" i="5" a="1"/>
  <c r="U10" i="5" s="1"/>
  <c r="K10" i="5" a="1"/>
  <c r="K10" i="5" s="1"/>
  <c r="P10" i="5" s="1"/>
  <c r="L10" i="5" a="1"/>
  <c r="L10" i="5" s="1"/>
  <c r="Q10" i="5" s="1"/>
  <c r="R10" i="5" s="1"/>
  <c r="N10" i="5" a="1"/>
  <c r="N10" i="5" s="1"/>
  <c r="M10" i="5" a="1"/>
  <c r="M10" i="5" s="1"/>
  <c r="K28" i="5" a="1"/>
  <c r="K28" i="5" s="1"/>
  <c r="U28" i="5" a="1"/>
  <c r="U28" i="5" s="1"/>
  <c r="L28" i="5" a="1"/>
  <c r="L28" i="5" s="1"/>
  <c r="M28" i="5" a="1"/>
  <c r="M28" i="5" s="1"/>
  <c r="N28" i="5" a="1"/>
  <c r="N28" i="5" s="1"/>
  <c r="P28" i="5"/>
  <c r="O28" i="5" a="1"/>
  <c r="O28" i="5" s="1"/>
  <c r="Q28" i="5"/>
  <c r="R28" i="5" s="1"/>
  <c r="O18" i="5" a="1"/>
  <c r="O18" i="5" s="1"/>
  <c r="L18" i="5" a="1"/>
  <c r="L18" i="5" s="1"/>
  <c r="Q18" i="5" s="1"/>
  <c r="R18" i="5" s="1"/>
  <c r="N18" i="5" a="1"/>
  <c r="N18" i="5" s="1"/>
  <c r="U18" i="5" a="1"/>
  <c r="U18" i="5" s="1"/>
  <c r="K18" i="5" a="1"/>
  <c r="K18" i="5" s="1"/>
  <c r="M18" i="5" a="1"/>
  <c r="M18" i="5" s="1"/>
  <c r="L15" i="5" a="1"/>
  <c r="L15" i="5" s="1"/>
  <c r="M15" i="5" a="1"/>
  <c r="M15" i="5" s="1"/>
  <c r="N15" i="5" a="1"/>
  <c r="N15" i="5" s="1"/>
  <c r="O15" i="5" a="1"/>
  <c r="O15" i="5" s="1"/>
  <c r="K15" i="5" a="1"/>
  <c r="K15" i="5" s="1"/>
  <c r="P15" i="5" s="1"/>
  <c r="Q15" i="5"/>
  <c r="R15" i="5" s="1"/>
  <c r="U15" i="5" a="1"/>
  <c r="U15" i="5" s="1"/>
  <c r="I31" i="5"/>
  <c r="K14" i="5" a="1"/>
  <c r="K14" i="5" s="1"/>
  <c r="P14" i="5" s="1"/>
  <c r="L14" i="5" a="1"/>
  <c r="L14" i="5" s="1"/>
  <c r="Q14" i="5" s="1"/>
  <c r="R14" i="5" s="1"/>
  <c r="M14" i="5" a="1"/>
  <c r="M14" i="5" s="1"/>
  <c r="N14" i="5" a="1"/>
  <c r="N14" i="5" s="1"/>
  <c r="O14" i="5" a="1"/>
  <c r="O14" i="5" s="1"/>
  <c r="U14" i="5" a="1"/>
  <c r="U14" i="5" s="1"/>
  <c r="AA31" i="5"/>
  <c r="AA29" i="5"/>
  <c r="AC29" i="5"/>
  <c r="I20" i="5"/>
  <c r="C23" i="5" a="1"/>
  <c r="C23" i="5" s="1"/>
  <c r="J23" i="5" s="1" a="1"/>
  <c r="J23" i="5" s="1"/>
  <c r="D23" i="5" a="1"/>
  <c r="D23" i="5" s="1"/>
  <c r="AB23" i="5" s="1"/>
  <c r="F23" i="5" a="1"/>
  <c r="F23" i="5" s="1"/>
  <c r="G23" i="5" a="1"/>
  <c r="G23" i="5" s="1"/>
  <c r="I23" i="5" s="1"/>
  <c r="H23" i="5" a="1"/>
  <c r="H23" i="5" s="1"/>
  <c r="G17" i="5" a="1"/>
  <c r="G17" i="5" s="1"/>
  <c r="C17" i="5" a="1"/>
  <c r="C17" i="5" s="1"/>
  <c r="J17" i="5" s="1" a="1"/>
  <c r="J17" i="5" s="1"/>
  <c r="F17" i="5" a="1"/>
  <c r="F17" i="5" s="1"/>
  <c r="H17" i="5" a="1"/>
  <c r="H17" i="5" s="1"/>
  <c r="D17" i="5" a="1"/>
  <c r="D17" i="5" s="1"/>
  <c r="AB17" i="5" s="1"/>
  <c r="E17" i="5" a="1"/>
  <c r="E17" i="5" s="1"/>
  <c r="C42" i="5" a="1"/>
  <c r="C42" i="5" s="1"/>
  <c r="J42" i="5" s="1" a="1"/>
  <c r="J42" i="5" s="1"/>
  <c r="G42" i="5" a="1"/>
  <c r="G42" i="5" s="1"/>
  <c r="H42" i="5" a="1"/>
  <c r="H42" i="5" s="1"/>
  <c r="D42" i="5" a="1"/>
  <c r="D42" i="5" s="1"/>
  <c r="AB42" i="5" s="1"/>
  <c r="AC42" i="5" s="1"/>
  <c r="E25" i="5" a="1"/>
  <c r="E25" i="5" s="1"/>
  <c r="F25" i="5" a="1"/>
  <c r="F25" i="5" s="1"/>
  <c r="G25" i="5" a="1"/>
  <c r="G25" i="5" s="1"/>
  <c r="H25" i="5" a="1"/>
  <c r="H25" i="5" s="1"/>
  <c r="U12" i="5" a="1"/>
  <c r="U12" i="5" s="1"/>
  <c r="K12" i="5" a="1"/>
  <c r="K12" i="5" s="1"/>
  <c r="P12" i="5" s="1"/>
  <c r="L12" i="5" a="1"/>
  <c r="L12" i="5" s="1"/>
  <c r="M12" i="5" a="1"/>
  <c r="M12" i="5" s="1"/>
  <c r="N12" i="5" a="1"/>
  <c r="N12" i="5" s="1"/>
  <c r="O12" i="5" a="1"/>
  <c r="O12" i="5" s="1"/>
  <c r="S22" i="5"/>
  <c r="E19" i="5" a="1"/>
  <c r="E19" i="5" s="1"/>
  <c r="G19" i="5" a="1"/>
  <c r="G19" i="5" s="1"/>
  <c r="H19" i="5" a="1"/>
  <c r="H19" i="5" s="1"/>
  <c r="F19" i="5" a="1"/>
  <c r="F19" i="5" s="1"/>
  <c r="C19" i="5" a="1"/>
  <c r="C19" i="5" s="1"/>
  <c r="J19" i="5" s="1" a="1"/>
  <c r="J19" i="5" s="1"/>
  <c r="D19" i="5" a="1"/>
  <c r="D19" i="5" s="1"/>
  <c r="AB19" i="5" s="1"/>
  <c r="D50" i="5" a="1"/>
  <c r="D50" i="5" s="1"/>
  <c r="AB50" i="5" s="1"/>
  <c r="F50" i="5" a="1"/>
  <c r="F50" i="5" s="1"/>
  <c r="F43" i="5" a="1"/>
  <c r="F43" i="5" s="1"/>
  <c r="E43" i="5" a="1"/>
  <c r="E43" i="5" s="1"/>
  <c r="F41" i="5" a="1"/>
  <c r="F41" i="5" s="1"/>
  <c r="H41" i="5" a="1"/>
  <c r="H41" i="5" s="1"/>
  <c r="D41" i="5" a="1"/>
  <c r="D41" i="5" s="1"/>
  <c r="AB41" i="5" s="1"/>
  <c r="F24" i="5" a="1"/>
  <c r="F24" i="5" s="1"/>
  <c r="D34" i="5" a="1"/>
  <c r="D34" i="5" s="1"/>
  <c r="AB34" i="5" s="1"/>
  <c r="F20" i="5" a="1"/>
  <c r="F20" i="5" s="1"/>
  <c r="C20" i="5" a="1"/>
  <c r="C20" i="5" s="1"/>
  <c r="J20" i="5" s="1" a="1"/>
  <c r="J20" i="5" s="1"/>
  <c r="D20" i="5" a="1"/>
  <c r="D20" i="5" s="1"/>
  <c r="AB20" i="5" s="1"/>
  <c r="E20" i="5" a="1"/>
  <c r="E20" i="5" s="1"/>
  <c r="F9" i="5" a="1"/>
  <c r="F9" i="5" s="1"/>
  <c r="G9" i="5" a="1"/>
  <c r="G9" i="5" s="1"/>
  <c r="I9" i="5" s="1"/>
  <c r="H9" i="5" a="1"/>
  <c r="H9" i="5" s="1"/>
  <c r="C9" i="5" a="1"/>
  <c r="C9" i="5" s="1"/>
  <c r="J9" i="5" s="1" a="1"/>
  <c r="J9" i="5" s="1"/>
  <c r="D9" i="5" a="1"/>
  <c r="D9" i="5" s="1"/>
  <c r="AB9" i="5" s="1"/>
  <c r="E9" i="5" a="1"/>
  <c r="E9" i="5" s="1"/>
  <c r="G34" i="5" a="1"/>
  <c r="G34" i="5" s="1"/>
  <c r="I34" i="5" s="1"/>
  <c r="H34" i="5" a="1"/>
  <c r="H34" i="5" s="1"/>
  <c r="G32" i="5" a="1"/>
  <c r="G32" i="5" s="1"/>
  <c r="AA18" i="5"/>
  <c r="S18" i="5"/>
  <c r="M16" i="5" a="1"/>
  <c r="M16" i="5" s="1"/>
  <c r="N16" i="5" a="1"/>
  <c r="N16" i="5" s="1"/>
  <c r="O16" i="5" a="1"/>
  <c r="O16" i="5" s="1"/>
  <c r="Q16" i="5"/>
  <c r="R16" i="5"/>
  <c r="U16" i="5" a="1"/>
  <c r="U16" i="5" s="1"/>
  <c r="L16" i="5" a="1"/>
  <c r="L16" i="5" s="1"/>
  <c r="K16" i="5" a="1"/>
  <c r="K16" i="5" s="1"/>
  <c r="P16" i="5" s="1"/>
  <c r="E40" i="5" a="1"/>
  <c r="E40" i="5" s="1"/>
  <c r="G40" i="5" a="1"/>
  <c r="G40" i="5" s="1"/>
  <c r="I40" i="5" s="1"/>
  <c r="H31" i="5" a="1"/>
  <c r="H31" i="5" s="1"/>
  <c r="H32" i="5" a="1"/>
  <c r="H32" i="5" s="1"/>
  <c r="F32" i="5" a="1"/>
  <c r="F32" i="5" s="1"/>
  <c r="C31" i="5" a="1"/>
  <c r="C31" i="5" s="1"/>
  <c r="J31" i="5" s="1" a="1"/>
  <c r="J31" i="5" s="1"/>
  <c r="D31" i="5" a="1"/>
  <c r="D31" i="5" s="1"/>
  <c r="AB31" i="5" s="1"/>
  <c r="AC31" i="5" s="1"/>
  <c r="E31" i="5" a="1"/>
  <c r="E31" i="5" s="1"/>
  <c r="I28" i="5"/>
  <c r="S28" i="5"/>
  <c r="AA28" i="5"/>
  <c r="H22" i="5" a="1"/>
  <c r="H22" i="5" s="1"/>
  <c r="C22" i="5" a="1"/>
  <c r="C22" i="5" s="1"/>
  <c r="J22" i="5" s="1" a="1"/>
  <c r="J22" i="5" s="1"/>
  <c r="D22" i="5" a="1"/>
  <c r="D22" i="5" s="1"/>
  <c r="AB22" i="5" s="1"/>
  <c r="AC22" i="5" s="1"/>
  <c r="E22" i="5" a="1"/>
  <c r="E22" i="5" s="1"/>
  <c r="G22" i="5" a="1"/>
  <c r="G22" i="5" s="1"/>
  <c r="C29" i="5" a="1"/>
  <c r="C29" i="5" s="1"/>
  <c r="J29" i="5" s="1" a="1"/>
  <c r="J29" i="5" s="1"/>
  <c r="D29" i="5" a="1"/>
  <c r="D29" i="5" s="1"/>
  <c r="AB29" i="5" s="1"/>
  <c r="E29" i="5" a="1"/>
  <c r="E29" i="5" s="1"/>
  <c r="G29" i="5" a="1"/>
  <c r="G29" i="5" s="1"/>
  <c r="I29" i="5" s="1"/>
  <c r="H11" i="5" a="1"/>
  <c r="H11" i="5" s="1"/>
  <c r="C11" i="5" a="1"/>
  <c r="C11" i="5" s="1"/>
  <c r="J11" i="5" s="1" a="1"/>
  <c r="J11" i="5" s="1"/>
  <c r="E11" i="5" a="1"/>
  <c r="E11" i="5" s="1"/>
  <c r="F11" i="5" a="1"/>
  <c r="F11" i="5" s="1"/>
  <c r="G14" i="5" a="1"/>
  <c r="G14" i="5" s="1"/>
  <c r="I14" i="5" s="1"/>
  <c r="D12" i="5" a="1"/>
  <c r="D12" i="5" s="1"/>
  <c r="AB12" i="5" s="1"/>
  <c r="F12" i="5" a="1"/>
  <c r="F12" i="5" s="1"/>
  <c r="G12" i="5" a="1"/>
  <c r="G12" i="5" s="1"/>
  <c r="I12" i="5" s="1"/>
  <c r="H15" i="5" a="1"/>
  <c r="H15" i="5" s="1"/>
  <c r="E14" i="5" a="1"/>
  <c r="E14" i="5" s="1"/>
  <c r="F16" i="5" a="1"/>
  <c r="F16" i="5" s="1"/>
  <c r="H16" i="5" a="1"/>
  <c r="H16" i="5" s="1"/>
  <c r="I16" i="5" s="1"/>
  <c r="F15" i="5" a="1"/>
  <c r="F15" i="5" s="1"/>
  <c r="C13" i="5" a="1"/>
  <c r="C13" i="5" s="1"/>
  <c r="J13" i="5" s="1" a="1"/>
  <c r="J13" i="5" s="1"/>
  <c r="E13" i="5" a="1"/>
  <c r="E13" i="5" s="1"/>
  <c r="G13" i="5" a="1"/>
  <c r="G13" i="5" s="1"/>
  <c r="H13" i="5" a="1"/>
  <c r="H13" i="5" s="1"/>
  <c r="D14" i="5" a="1"/>
  <c r="D14" i="5" s="1"/>
  <c r="AB14" i="5" s="1"/>
  <c r="F14" i="5" a="1"/>
  <c r="F14" i="5" s="1"/>
  <c r="H14" i="5" a="1"/>
  <c r="H14" i="5" s="1"/>
  <c r="E8" i="5" a="1"/>
  <c r="E8" i="5" s="1"/>
  <c r="F8" i="5" a="1"/>
  <c r="F8" i="5" s="1"/>
  <c r="G8" i="5" a="1"/>
  <c r="G8" i="5" s="1"/>
  <c r="H8" i="5" a="1"/>
  <c r="H8" i="5" s="1"/>
  <c r="C8" i="5" a="1"/>
  <c r="C8" i="5" s="1"/>
  <c r="J8" i="5" s="1" a="1"/>
  <c r="J8" i="5" s="1"/>
  <c r="D8" i="5" a="1"/>
  <c r="D8" i="5" s="1"/>
  <c r="AB8" i="5" s="1"/>
  <c r="H21" i="5" a="1"/>
  <c r="H21" i="5" s="1"/>
  <c r="E15" i="5" a="1"/>
  <c r="E15" i="5" s="1"/>
  <c r="G15" i="5" a="1"/>
  <c r="G15" i="5" s="1"/>
  <c r="AC13" i="5"/>
  <c r="AA10" i="5"/>
  <c r="AC10" i="5"/>
  <c r="S10" i="5"/>
  <c r="F21" i="5" a="1"/>
  <c r="F21" i="5" s="1"/>
  <c r="D7" i="5" a="1"/>
  <c r="D7" i="5" s="1"/>
  <c r="AB7" i="5" s="1"/>
  <c r="E7" i="5" a="1"/>
  <c r="E7" i="5" s="1"/>
  <c r="F7" i="5" a="1"/>
  <c r="F7" i="5" s="1"/>
  <c r="G7" i="5" a="1"/>
  <c r="G7" i="5" s="1"/>
  <c r="I7" i="5" s="1"/>
  <c r="H7" i="5" a="1"/>
  <c r="H7" i="5" s="1"/>
  <c r="C7" i="5" a="1"/>
  <c r="C7" i="5" s="1"/>
  <c r="J7" i="5" s="1" a="1"/>
  <c r="J7" i="5" s="1"/>
  <c r="E21" i="5" a="1"/>
  <c r="E21" i="5" s="1"/>
  <c r="E18" i="5" a="1"/>
  <c r="E18" i="5" s="1"/>
  <c r="G10" i="5" a="1"/>
  <c r="G10" i="5" s="1"/>
  <c r="I10" i="5" s="1"/>
  <c r="H10" i="5" a="1"/>
  <c r="H10" i="5" s="1"/>
  <c r="D10" i="5" a="1"/>
  <c r="D10" i="5" s="1"/>
  <c r="AB10" i="5" s="1"/>
  <c r="E10" i="5" a="1"/>
  <c r="E10" i="5" s="1"/>
  <c r="S13" i="5"/>
  <c r="C6" i="5" a="1"/>
  <c r="C6" i="5" s="1"/>
  <c r="J6" i="5" s="1" a="1"/>
  <c r="J6" i="5" s="1"/>
  <c r="D6" i="5" a="1"/>
  <c r="D6" i="5" s="1"/>
  <c r="AB6" i="5" s="1"/>
  <c r="E6" i="5" a="1"/>
  <c r="E6" i="5" s="1"/>
  <c r="F6" i="5" a="1"/>
  <c r="F6" i="5" s="1"/>
  <c r="G6" i="5" a="1"/>
  <c r="G6" i="5" s="1"/>
  <c r="H6" i="5" a="1"/>
  <c r="H6" i="5" s="1"/>
  <c r="G11" i="5" a="1"/>
  <c r="G11" i="5" s="1"/>
  <c r="I11" i="5" s="1"/>
  <c r="C21" i="5" a="1"/>
  <c r="C21" i="5" s="1"/>
  <c r="J21" i="5" s="1" a="1"/>
  <c r="J21" i="5" s="1"/>
  <c r="G21" i="5" a="1"/>
  <c r="G21" i="5" s="1"/>
  <c r="I21" i="5" s="1"/>
  <c r="H18" i="5" a="1"/>
  <c r="H18" i="5" s="1"/>
  <c r="I18" i="5" s="1"/>
  <c r="D18" i="5" a="1"/>
  <c r="D18" i="5" s="1"/>
  <c r="AB18" i="5" s="1"/>
  <c r="AC18" i="5" s="1"/>
  <c r="C5" i="5" a="1"/>
  <c r="C5" i="5" s="1"/>
  <c r="J5" i="5" s="1" a="1"/>
  <c r="J5" i="5" s="1"/>
  <c r="D5" i="5" a="1"/>
  <c r="D5" i="5" s="1"/>
  <c r="AB5" i="5" s="1"/>
  <c r="E5" i="5" a="1"/>
  <c r="E5" i="5" s="1"/>
  <c r="F5" i="5" a="1"/>
  <c r="F5" i="5" s="1"/>
  <c r="G5" i="5" a="1"/>
  <c r="G5" i="5" s="1"/>
  <c r="H5" i="5" a="1"/>
  <c r="H5" i="5" s="1"/>
  <c r="H12" i="5" a="1"/>
  <c r="H12" i="5" s="1"/>
  <c r="D11" i="5" a="1"/>
  <c r="D11" i="5" s="1"/>
  <c r="AB11" i="5" s="1"/>
  <c r="C4" i="5" a="1"/>
  <c r="C4" i="5" s="1"/>
  <c r="J4" i="5" s="1" a="1"/>
  <c r="J4" i="5" s="1"/>
  <c r="D4" i="5" a="1"/>
  <c r="D4" i="5" s="1"/>
  <c r="AB4" i="5" s="1"/>
  <c r="G4" i="5" a="1"/>
  <c r="G4" i="5" s="1"/>
  <c r="E4" i="5" a="1"/>
  <c r="E4" i="5" s="1"/>
  <c r="F4" i="5" a="1"/>
  <c r="F4" i="5" s="1"/>
  <c r="H4" i="5" a="1"/>
  <c r="H4" i="5" s="1"/>
  <c r="G43" i="6" l="1"/>
  <c r="X16" i="5" a="1"/>
  <c r="X16" i="5" s="1"/>
  <c r="V16" i="5" a="1"/>
  <c r="V16" i="5" s="1"/>
  <c r="W16" i="5" s="1"/>
  <c r="Y16" i="5" s="1"/>
  <c r="Z16" i="5" s="1"/>
  <c r="X12" i="5" a="1"/>
  <c r="X12" i="5" s="1"/>
  <c r="V12" i="5" a="1"/>
  <c r="V12" i="5" s="1"/>
  <c r="W12" i="5" s="1"/>
  <c r="Y12" i="5" s="1"/>
  <c r="Z12" i="5" s="1"/>
  <c r="T18" i="5"/>
  <c r="AD18" i="5" s="1"/>
  <c r="T10" i="5"/>
  <c r="AD10" i="5" s="1"/>
  <c r="S30" i="5"/>
  <c r="AA30" i="5"/>
  <c r="AC30" i="5"/>
  <c r="AC55" i="5"/>
  <c r="S55" i="5"/>
  <c r="AA55" i="5"/>
  <c r="X49" i="5" a="1"/>
  <c r="X49" i="5" s="1"/>
  <c r="V49" i="5" a="1"/>
  <c r="V49" i="5" s="1"/>
  <c r="W49" i="5" s="1"/>
  <c r="Y49" i="5" s="1"/>
  <c r="Z49" i="5" s="1"/>
  <c r="V40" i="5" a="1"/>
  <c r="V40" i="5" s="1"/>
  <c r="W40" i="5" s="1"/>
  <c r="Y40" i="5" s="1"/>
  <c r="Z40" i="5" s="1"/>
  <c r="X40" i="5" a="1"/>
  <c r="X40" i="5" s="1"/>
  <c r="AA74" i="5"/>
  <c r="AC74" i="5"/>
  <c r="S74" i="5"/>
  <c r="L76" i="5" a="1"/>
  <c r="L76" i="5" s="1"/>
  <c r="Q76" i="5"/>
  <c r="R76" i="5" s="1"/>
  <c r="U76" i="5" a="1"/>
  <c r="U76" i="5" s="1"/>
  <c r="M76" i="5" a="1"/>
  <c r="M76" i="5" s="1"/>
  <c r="N76" i="5" a="1"/>
  <c r="N76" i="5" s="1"/>
  <c r="O76" i="5" a="1"/>
  <c r="O76" i="5" s="1"/>
  <c r="K76" i="5" a="1"/>
  <c r="K76" i="5" s="1"/>
  <c r="P76" i="5"/>
  <c r="I78" i="5"/>
  <c r="L83" i="5" a="1"/>
  <c r="L83" i="5" s="1"/>
  <c r="Q83" i="5" s="1"/>
  <c r="R83" i="5" s="1"/>
  <c r="N83" i="5" a="1"/>
  <c r="N83" i="5" s="1"/>
  <c r="K83" i="5" a="1"/>
  <c r="K83" i="5" s="1"/>
  <c r="M83" i="5" a="1"/>
  <c r="M83" i="5" s="1"/>
  <c r="O83" i="5" a="1"/>
  <c r="O83" i="5" s="1"/>
  <c r="P83" i="5"/>
  <c r="U83" i="5" a="1"/>
  <c r="U83" i="5" s="1"/>
  <c r="AA96" i="5"/>
  <c r="AC96" i="5"/>
  <c r="S96" i="5"/>
  <c r="X115" i="5" a="1"/>
  <c r="X115" i="5" s="1"/>
  <c r="V115" i="5" a="1"/>
  <c r="V115" i="5" s="1"/>
  <c r="W115" i="5" s="1"/>
  <c r="Y115" i="5" s="1"/>
  <c r="Z115" i="5" s="1"/>
  <c r="Q131" i="5"/>
  <c r="R131" i="5" s="1"/>
  <c r="U131" i="5" a="1"/>
  <c r="U131" i="5" s="1"/>
  <c r="M131" i="5" a="1"/>
  <c r="M131" i="5" s="1"/>
  <c r="N131" i="5" a="1"/>
  <c r="N131" i="5" s="1"/>
  <c r="O131" i="5" a="1"/>
  <c r="O131" i="5" s="1"/>
  <c r="K131" i="5" a="1"/>
  <c r="K131" i="5" s="1"/>
  <c r="P131" i="5" s="1"/>
  <c r="L131" i="5" a="1"/>
  <c r="L131" i="5" s="1"/>
  <c r="AA120" i="5"/>
  <c r="S120" i="5"/>
  <c r="AC120" i="5"/>
  <c r="S132" i="5"/>
  <c r="AA132" i="5"/>
  <c r="AC132" i="5"/>
  <c r="I139" i="5"/>
  <c r="AA126" i="5"/>
  <c r="AC126" i="5"/>
  <c r="S126" i="5"/>
  <c r="L35" i="5" a="1"/>
  <c r="L35" i="5" s="1"/>
  <c r="Q35" i="5" s="1"/>
  <c r="R35" i="5" s="1"/>
  <c r="M35" i="5" a="1"/>
  <c r="M35" i="5" s="1"/>
  <c r="U35" i="5" a="1"/>
  <c r="U35" i="5" s="1"/>
  <c r="K35" i="5" a="1"/>
  <c r="K35" i="5" s="1"/>
  <c r="N35" i="5" a="1"/>
  <c r="N35" i="5" s="1"/>
  <c r="O35" i="5" a="1"/>
  <c r="O35" i="5" s="1"/>
  <c r="P35" i="5"/>
  <c r="L30" i="5" a="1"/>
  <c r="L30" i="5" s="1"/>
  <c r="Q30" i="5" s="1"/>
  <c r="R30" i="5" s="1"/>
  <c r="M30" i="5" a="1"/>
  <c r="M30" i="5" s="1"/>
  <c r="U30" i="5" a="1"/>
  <c r="U30" i="5" s="1"/>
  <c r="K30" i="5" a="1"/>
  <c r="K30" i="5" s="1"/>
  <c r="N30" i="5" a="1"/>
  <c r="N30" i="5" s="1"/>
  <c r="P30" i="5"/>
  <c r="O30" i="5" a="1"/>
  <c r="O30" i="5" s="1"/>
  <c r="S48" i="5"/>
  <c r="AC48" i="5"/>
  <c r="AA48" i="5"/>
  <c r="AA66" i="5"/>
  <c r="S66" i="5"/>
  <c r="AC66" i="5"/>
  <c r="X53" i="5" a="1"/>
  <c r="X53" i="5" s="1"/>
  <c r="V53" i="5" a="1"/>
  <c r="V53" i="5" s="1"/>
  <c r="W53" i="5" s="1"/>
  <c r="Y53" i="5" s="1"/>
  <c r="Z53" i="5" s="1"/>
  <c r="O74" i="5" a="1"/>
  <c r="O74" i="5" s="1"/>
  <c r="L74" i="5" a="1"/>
  <c r="L74" i="5" s="1"/>
  <c r="Q74" i="5" s="1"/>
  <c r="R74" i="5" s="1"/>
  <c r="M74" i="5" a="1"/>
  <c r="M74" i="5" s="1"/>
  <c r="N74" i="5" a="1"/>
  <c r="N74" i="5" s="1"/>
  <c r="P74" i="5"/>
  <c r="U74" i="5" a="1"/>
  <c r="U74" i="5" s="1"/>
  <c r="K74" i="5" a="1"/>
  <c r="K74" i="5" s="1"/>
  <c r="X82" i="5" a="1"/>
  <c r="X82" i="5" s="1"/>
  <c r="V82" i="5" a="1"/>
  <c r="V82" i="5" s="1"/>
  <c r="W82" i="5" s="1"/>
  <c r="Y82" i="5" s="1"/>
  <c r="Z82" i="5" s="1"/>
  <c r="L71" i="5" a="1"/>
  <c r="L71" i="5" s="1"/>
  <c r="O71" i="5" a="1"/>
  <c r="O71" i="5" s="1"/>
  <c r="U71" i="5" a="1"/>
  <c r="U71" i="5" s="1"/>
  <c r="K71" i="5" a="1"/>
  <c r="K71" i="5" s="1"/>
  <c r="P71" i="5" s="1"/>
  <c r="N71" i="5" a="1"/>
  <c r="N71" i="5" s="1"/>
  <c r="Q71" i="5"/>
  <c r="R71" i="5"/>
  <c r="M71" i="5" a="1"/>
  <c r="M71" i="5" s="1"/>
  <c r="V68" i="5" a="1"/>
  <c r="V68" i="5" s="1"/>
  <c r="W68" i="5" s="1"/>
  <c r="Y68" i="5" s="1"/>
  <c r="Z68" i="5" s="1"/>
  <c r="X68" i="5" a="1"/>
  <c r="X68" i="5" s="1"/>
  <c r="I84" i="5"/>
  <c r="L91" i="5" a="1"/>
  <c r="L91" i="5" s="1"/>
  <c r="O91" i="5" a="1"/>
  <c r="O91" i="5" s="1"/>
  <c r="M91" i="5" a="1"/>
  <c r="M91" i="5" s="1"/>
  <c r="N91" i="5" a="1"/>
  <c r="N91" i="5" s="1"/>
  <c r="Q91" i="5"/>
  <c r="R91" i="5" s="1"/>
  <c r="K91" i="5" a="1"/>
  <c r="K91" i="5" s="1"/>
  <c r="P91" i="5" s="1"/>
  <c r="U91" i="5" a="1"/>
  <c r="U91" i="5" s="1"/>
  <c r="K103" i="5" a="1"/>
  <c r="K103" i="5" s="1"/>
  <c r="O103" i="5" a="1"/>
  <c r="O103" i="5" s="1"/>
  <c r="M103" i="5" a="1"/>
  <c r="M103" i="5" s="1"/>
  <c r="N103" i="5" a="1"/>
  <c r="N103" i="5" s="1"/>
  <c r="P103" i="5"/>
  <c r="L103" i="5" a="1"/>
  <c r="L103" i="5" s="1"/>
  <c r="Q103" i="5" s="1"/>
  <c r="R103" i="5" s="1"/>
  <c r="U103" i="5" a="1"/>
  <c r="U103" i="5" s="1"/>
  <c r="P104" i="5"/>
  <c r="T95" i="5"/>
  <c r="AD95" i="5"/>
  <c r="R19" i="5"/>
  <c r="M19" i="5" a="1"/>
  <c r="M19" i="5" s="1"/>
  <c r="O19" i="5" a="1"/>
  <c r="O19" i="5" s="1"/>
  <c r="K19" i="5" a="1"/>
  <c r="K19" i="5" s="1"/>
  <c r="P19" i="5" s="1"/>
  <c r="N19" i="5" a="1"/>
  <c r="N19" i="5" s="1"/>
  <c r="Q19" i="5"/>
  <c r="U19" i="5" a="1"/>
  <c r="U19" i="5" s="1"/>
  <c r="L19" i="5" a="1"/>
  <c r="L19" i="5" s="1"/>
  <c r="AA38" i="5"/>
  <c r="AC38" i="5"/>
  <c r="S38" i="5"/>
  <c r="M72" i="5" a="1"/>
  <c r="M72" i="5" s="1"/>
  <c r="N72" i="5" a="1"/>
  <c r="N72" i="5" s="1"/>
  <c r="P72" i="5"/>
  <c r="U72" i="5" a="1"/>
  <c r="U72" i="5" s="1"/>
  <c r="K72" i="5" a="1"/>
  <c r="K72" i="5" s="1"/>
  <c r="L72" i="5" a="1"/>
  <c r="L72" i="5" s="1"/>
  <c r="Q72" i="5" s="1"/>
  <c r="R72" i="5" s="1"/>
  <c r="O72" i="5" a="1"/>
  <c r="O72" i="5" s="1"/>
  <c r="O94" i="5" a="1"/>
  <c r="O94" i="5" s="1"/>
  <c r="N94" i="5" a="1"/>
  <c r="N94" i="5" s="1"/>
  <c r="R94" i="5"/>
  <c r="U94" i="5" a="1"/>
  <c r="U94" i="5" s="1"/>
  <c r="K94" i="5" a="1"/>
  <c r="K94" i="5" s="1"/>
  <c r="P94" i="5" s="1"/>
  <c r="L94" i="5" a="1"/>
  <c r="L94" i="5" s="1"/>
  <c r="Q94" i="5"/>
  <c r="M94" i="5" a="1"/>
  <c r="M94" i="5" s="1"/>
  <c r="V77" i="5" a="1"/>
  <c r="V77" i="5" s="1"/>
  <c r="W77" i="5" s="1"/>
  <c r="Y77" i="5" s="1"/>
  <c r="Z77" i="5" s="1"/>
  <c r="X77" i="5" a="1"/>
  <c r="X77" i="5" s="1"/>
  <c r="L96" i="5" a="1"/>
  <c r="L96" i="5" s="1"/>
  <c r="Q96" i="5" s="1"/>
  <c r="R96" i="5" s="1"/>
  <c r="N96" i="5" a="1"/>
  <c r="N96" i="5" s="1"/>
  <c r="O96" i="5" a="1"/>
  <c r="O96" i="5" s="1"/>
  <c r="U96" i="5" a="1"/>
  <c r="U96" i="5" s="1"/>
  <c r="K96" i="5" a="1"/>
  <c r="K96" i="5" s="1"/>
  <c r="P96" i="5" s="1"/>
  <c r="M96" i="5" a="1"/>
  <c r="M96" i="5" s="1"/>
  <c r="Q134" i="5"/>
  <c r="R134" i="5" s="1"/>
  <c r="M134" i="5" a="1"/>
  <c r="M134" i="5" s="1"/>
  <c r="N134" i="5" a="1"/>
  <c r="N134" i="5" s="1"/>
  <c r="K134" i="5" a="1"/>
  <c r="K134" i="5" s="1"/>
  <c r="L134" i="5" a="1"/>
  <c r="L134" i="5" s="1"/>
  <c r="P134" i="5"/>
  <c r="O134" i="5" a="1"/>
  <c r="O134" i="5" s="1"/>
  <c r="U134" i="5" a="1"/>
  <c r="U134" i="5" s="1"/>
  <c r="AA112" i="5"/>
  <c r="S112" i="5"/>
  <c r="AC112" i="5"/>
  <c r="N122" i="5" a="1"/>
  <c r="N122" i="5" s="1"/>
  <c r="K122" i="5" a="1"/>
  <c r="K122" i="5" s="1"/>
  <c r="P122" i="5" s="1"/>
  <c r="U122" i="5" a="1"/>
  <c r="U122" i="5" s="1"/>
  <c r="M122" i="5" a="1"/>
  <c r="M122" i="5" s="1"/>
  <c r="O122" i="5" a="1"/>
  <c r="O122" i="5" s="1"/>
  <c r="L122" i="5" a="1"/>
  <c r="L122" i="5" s="1"/>
  <c r="Q122" i="5" s="1"/>
  <c r="R122" i="5" s="1"/>
  <c r="O120" i="5" a="1"/>
  <c r="O120" i="5" s="1"/>
  <c r="L120" i="5" a="1"/>
  <c r="L120" i="5" s="1"/>
  <c r="Q120" i="5" s="1"/>
  <c r="R120" i="5" s="1"/>
  <c r="U120" i="5" a="1"/>
  <c r="U120" i="5" s="1"/>
  <c r="N120" i="5" a="1"/>
  <c r="N120" i="5" s="1"/>
  <c r="K120" i="5" a="1"/>
  <c r="K120" i="5" s="1"/>
  <c r="P120" i="5"/>
  <c r="M120" i="5" a="1"/>
  <c r="M120" i="5" s="1"/>
  <c r="AA138" i="5"/>
  <c r="AC138" i="5"/>
  <c r="S138" i="5"/>
  <c r="O139" i="5" a="1"/>
  <c r="O139" i="5" s="1"/>
  <c r="U139" i="5" a="1"/>
  <c r="U139" i="5" s="1"/>
  <c r="N139" i="5" a="1"/>
  <c r="N139" i="5" s="1"/>
  <c r="K139" i="5" a="1"/>
  <c r="K139" i="5" s="1"/>
  <c r="P139" i="5" s="1"/>
  <c r="L139" i="5" a="1"/>
  <c r="L139" i="5" s="1"/>
  <c r="Q139" i="5" s="1"/>
  <c r="R139" i="5" s="1"/>
  <c r="M139" i="5" a="1"/>
  <c r="M139" i="5" s="1"/>
  <c r="K78" i="5" a="1"/>
  <c r="K78" i="5" s="1"/>
  <c r="L78" i="5" a="1"/>
  <c r="L78" i="5" s="1"/>
  <c r="N78" i="5" a="1"/>
  <c r="N78" i="5" s="1"/>
  <c r="P78" i="5"/>
  <c r="Q78" i="5"/>
  <c r="R78" i="5"/>
  <c r="O78" i="5" a="1"/>
  <c r="O78" i="5" s="1"/>
  <c r="U78" i="5" a="1"/>
  <c r="U78" i="5" s="1"/>
  <c r="M78" i="5" a="1"/>
  <c r="M78" i="5" s="1"/>
  <c r="T68" i="5"/>
  <c r="AD68" i="5"/>
  <c r="Q88" i="5"/>
  <c r="R88" i="5" s="1"/>
  <c r="L88" i="5" a="1"/>
  <c r="L88" i="5" s="1"/>
  <c r="M88" i="5" a="1"/>
  <c r="M88" i="5" s="1"/>
  <c r="O88" i="5" a="1"/>
  <c r="O88" i="5" s="1"/>
  <c r="U88" i="5" a="1"/>
  <c r="U88" i="5" s="1"/>
  <c r="K88" i="5" a="1"/>
  <c r="K88" i="5" s="1"/>
  <c r="N88" i="5" a="1"/>
  <c r="N88" i="5" s="1"/>
  <c r="P88" i="5"/>
  <c r="S84" i="5"/>
  <c r="AC84" i="5"/>
  <c r="AA84" i="5"/>
  <c r="K21" i="5" a="1"/>
  <c r="K21" i="5" s="1"/>
  <c r="P21" i="5" s="1"/>
  <c r="L21" i="5" a="1"/>
  <c r="L21" i="5" s="1"/>
  <c r="O21" i="5" a="1"/>
  <c r="O21" i="5" s="1"/>
  <c r="Q21" i="5"/>
  <c r="R21" i="5" s="1"/>
  <c r="N21" i="5" a="1"/>
  <c r="N21" i="5" s="1"/>
  <c r="M21" i="5" a="1"/>
  <c r="M21" i="5" s="1"/>
  <c r="U21" i="5" a="1"/>
  <c r="U21" i="5" s="1"/>
  <c r="I8" i="5"/>
  <c r="S12" i="5"/>
  <c r="AC12" i="5"/>
  <c r="AA12" i="5"/>
  <c r="AC19" i="5"/>
  <c r="S19" i="5"/>
  <c r="AA19" i="5"/>
  <c r="I25" i="5"/>
  <c r="V10" i="5" a="1"/>
  <c r="V10" i="5" s="1"/>
  <c r="W10" i="5" s="1"/>
  <c r="Y10" i="5" s="1"/>
  <c r="Z10" i="5" s="1"/>
  <c r="X10" i="5" a="1"/>
  <c r="X10" i="5" s="1"/>
  <c r="S63" i="5"/>
  <c r="AA63" i="5"/>
  <c r="AC63" i="5"/>
  <c r="L57" i="5" a="1"/>
  <c r="L57" i="5" s="1"/>
  <c r="M57" i="5" a="1"/>
  <c r="M57" i="5" s="1"/>
  <c r="Q57" i="5"/>
  <c r="R57" i="5" s="1"/>
  <c r="U57" i="5" a="1"/>
  <c r="U57" i="5" s="1"/>
  <c r="K57" i="5" a="1"/>
  <c r="K57" i="5" s="1"/>
  <c r="P57" i="5" s="1"/>
  <c r="N57" i="5" a="1"/>
  <c r="N57" i="5" s="1"/>
  <c r="O57" i="5" a="1"/>
  <c r="O57" i="5" s="1"/>
  <c r="M48" i="5" a="1"/>
  <c r="M48" i="5" s="1"/>
  <c r="O48" i="5" a="1"/>
  <c r="O48" i="5" s="1"/>
  <c r="L48" i="5" a="1"/>
  <c r="L48" i="5" s="1"/>
  <c r="Q48" i="5"/>
  <c r="U48" i="5" a="1"/>
  <c r="U48" i="5" s="1"/>
  <c r="N48" i="5" a="1"/>
  <c r="N48" i="5" s="1"/>
  <c r="R48" i="5"/>
  <c r="K48" i="5" a="1"/>
  <c r="K48" i="5" s="1"/>
  <c r="P48" i="5" s="1"/>
  <c r="V25" i="5" a="1"/>
  <c r="V25" i="5" s="1"/>
  <c r="W25" i="5" s="1"/>
  <c r="Y25" i="5" s="1"/>
  <c r="Z25" i="5" s="1"/>
  <c r="X25" i="5" a="1"/>
  <c r="X25" i="5" s="1"/>
  <c r="I82" i="5"/>
  <c r="N93" i="5" a="1"/>
  <c r="N93" i="5" s="1"/>
  <c r="K93" i="5" a="1"/>
  <c r="K93" i="5" s="1"/>
  <c r="O93" i="5" a="1"/>
  <c r="O93" i="5" s="1"/>
  <c r="P93" i="5"/>
  <c r="L93" i="5" a="1"/>
  <c r="L93" i="5" s="1"/>
  <c r="Q93" i="5" s="1"/>
  <c r="R93" i="5" s="1"/>
  <c r="M93" i="5" a="1"/>
  <c r="M93" i="5" s="1"/>
  <c r="U93" i="5" a="1"/>
  <c r="U93" i="5" s="1"/>
  <c r="I91" i="5"/>
  <c r="I94" i="5"/>
  <c r="I103" i="5"/>
  <c r="I114" i="5"/>
  <c r="I130" i="5"/>
  <c r="AA139" i="5"/>
  <c r="AC139" i="5"/>
  <c r="S139" i="5"/>
  <c r="M23" i="5" a="1"/>
  <c r="M23" i="5" s="1"/>
  <c r="N23" i="5" a="1"/>
  <c r="N23" i="5" s="1"/>
  <c r="O23" i="5" a="1"/>
  <c r="O23" i="5" s="1"/>
  <c r="U23" i="5" a="1"/>
  <c r="U23" i="5" s="1"/>
  <c r="K23" i="5" a="1"/>
  <c r="K23" i="5" s="1"/>
  <c r="L23" i="5" a="1"/>
  <c r="L23" i="5" s="1"/>
  <c r="Q23" i="5" s="1"/>
  <c r="R23" i="5" s="1"/>
  <c r="P23" i="5"/>
  <c r="X15" i="5" a="1"/>
  <c r="X15" i="5" s="1"/>
  <c r="V15" i="5" a="1"/>
  <c r="V15" i="5" s="1"/>
  <c r="W15" i="5" s="1"/>
  <c r="Y15" i="5" s="1"/>
  <c r="Z15" i="5" s="1"/>
  <c r="P18" i="5"/>
  <c r="N37" i="5" a="1"/>
  <c r="N37" i="5" s="1"/>
  <c r="O37" i="5" a="1"/>
  <c r="O37" i="5" s="1"/>
  <c r="U37" i="5" a="1"/>
  <c r="U37" i="5" s="1"/>
  <c r="L37" i="5" a="1"/>
  <c r="L37" i="5" s="1"/>
  <c r="Q37" i="5" s="1"/>
  <c r="R37" i="5" s="1"/>
  <c r="M37" i="5" a="1"/>
  <c r="M37" i="5" s="1"/>
  <c r="P37" i="5"/>
  <c r="K37" i="5" a="1"/>
  <c r="K37" i="5" s="1"/>
  <c r="X34" i="5" a="1"/>
  <c r="X34" i="5" s="1"/>
  <c r="V34" i="5" a="1"/>
  <c r="V34" i="5" s="1"/>
  <c r="W34" i="5" s="1"/>
  <c r="Y34" i="5" s="1"/>
  <c r="Z34" i="5" s="1"/>
  <c r="X32" i="5" a="1"/>
  <c r="X32" i="5" s="1"/>
  <c r="V32" i="5" a="1"/>
  <c r="V32" i="5" s="1"/>
  <c r="W32" i="5" s="1"/>
  <c r="Y32" i="5" s="1"/>
  <c r="Z32" i="5" s="1"/>
  <c r="I48" i="5"/>
  <c r="L47" i="5" a="1"/>
  <c r="L47" i="5" s="1"/>
  <c r="Q47" i="5" s="1"/>
  <c r="R47" i="5" s="1"/>
  <c r="K47" i="5" a="1"/>
  <c r="K47" i="5" s="1"/>
  <c r="M47" i="5" a="1"/>
  <c r="M47" i="5" s="1"/>
  <c r="O47" i="5" a="1"/>
  <c r="O47" i="5" s="1"/>
  <c r="P47" i="5"/>
  <c r="U47" i="5" a="1"/>
  <c r="U47" i="5" s="1"/>
  <c r="N47" i="5" a="1"/>
  <c r="N47" i="5" s="1"/>
  <c r="AD52" i="5"/>
  <c r="T52" i="5"/>
  <c r="T40" i="5"/>
  <c r="AD40" i="5"/>
  <c r="AD63" i="5"/>
  <c r="T63" i="5"/>
  <c r="AC72" i="5"/>
  <c r="AA72" i="5"/>
  <c r="S72" i="5"/>
  <c r="I80" i="5"/>
  <c r="AC95" i="5"/>
  <c r="S95" i="5"/>
  <c r="AA95" i="5"/>
  <c r="AA91" i="5"/>
  <c r="S91" i="5"/>
  <c r="AC91" i="5"/>
  <c r="O112" i="5" a="1"/>
  <c r="O112" i="5" s="1"/>
  <c r="L112" i="5" a="1"/>
  <c r="L112" i="5" s="1"/>
  <c r="Q112" i="5" s="1"/>
  <c r="R112" i="5" s="1"/>
  <c r="U112" i="5" a="1"/>
  <c r="U112" i="5" s="1"/>
  <c r="M112" i="5" a="1"/>
  <c r="M112" i="5" s="1"/>
  <c r="K112" i="5" a="1"/>
  <c r="K112" i="5" s="1"/>
  <c r="P112" i="5" s="1"/>
  <c r="N112" i="5" a="1"/>
  <c r="N112" i="5" s="1"/>
  <c r="AA124" i="5"/>
  <c r="AC124" i="5"/>
  <c r="S124" i="5"/>
  <c r="S122" i="5"/>
  <c r="AA122" i="5"/>
  <c r="AC122" i="5"/>
  <c r="P95" i="5"/>
  <c r="R130" i="5"/>
  <c r="K130" i="5" a="1"/>
  <c r="K130" i="5" s="1"/>
  <c r="P130" i="5" s="1"/>
  <c r="L130" i="5" a="1"/>
  <c r="L130" i="5" s="1"/>
  <c r="M130" i="5" a="1"/>
  <c r="M130" i="5" s="1"/>
  <c r="Q130" i="5"/>
  <c r="N130" i="5" a="1"/>
  <c r="N130" i="5" s="1"/>
  <c r="O130" i="5" a="1"/>
  <c r="O130" i="5" s="1"/>
  <c r="U130" i="5" a="1"/>
  <c r="U130" i="5" s="1"/>
  <c r="AC127" i="5"/>
  <c r="AA127" i="5"/>
  <c r="S127" i="5"/>
  <c r="O38" i="5" a="1"/>
  <c r="O38" i="5" s="1"/>
  <c r="Q38" i="5"/>
  <c r="R38" i="5" s="1"/>
  <c r="L38" i="5" a="1"/>
  <c r="L38" i="5" s="1"/>
  <c r="K38" i="5" a="1"/>
  <c r="K38" i="5" s="1"/>
  <c r="P38" i="5" s="1"/>
  <c r="U38" i="5" a="1"/>
  <c r="U38" i="5" s="1"/>
  <c r="M38" i="5" a="1"/>
  <c r="M38" i="5" s="1"/>
  <c r="N38" i="5" a="1"/>
  <c r="N38" i="5" s="1"/>
  <c r="I47" i="5"/>
  <c r="T53" i="5"/>
  <c r="AD53" i="5" s="1"/>
  <c r="V50" i="5" a="1"/>
  <c r="V50" i="5" s="1"/>
  <c r="W50" i="5" s="1"/>
  <c r="Y50" i="5" s="1"/>
  <c r="Z50" i="5" s="1"/>
  <c r="X50" i="5" a="1"/>
  <c r="X50" i="5" s="1"/>
  <c r="V63" i="5" a="1"/>
  <c r="V63" i="5" s="1"/>
  <c r="W63" i="5" s="1"/>
  <c r="Y63" i="5" s="1"/>
  <c r="Z63" i="5" s="1"/>
  <c r="X63" i="5" a="1"/>
  <c r="X63" i="5" s="1"/>
  <c r="N81" i="5" a="1"/>
  <c r="N81" i="5" s="1"/>
  <c r="M81" i="5" a="1"/>
  <c r="M81" i="5" s="1"/>
  <c r="O81" i="5" a="1"/>
  <c r="O81" i="5" s="1"/>
  <c r="R81" i="5"/>
  <c r="U81" i="5" a="1"/>
  <c r="U81" i="5" s="1"/>
  <c r="K81" i="5" a="1"/>
  <c r="K81" i="5" s="1"/>
  <c r="P81" i="5" s="1"/>
  <c r="L81" i="5" a="1"/>
  <c r="L81" i="5" s="1"/>
  <c r="Q81" i="5"/>
  <c r="S80" i="5"/>
  <c r="AC80" i="5"/>
  <c r="AA80" i="5"/>
  <c r="AA94" i="5"/>
  <c r="AC94" i="5"/>
  <c r="S94" i="5"/>
  <c r="T77" i="5"/>
  <c r="AD77" i="5"/>
  <c r="O107" i="5" a="1"/>
  <c r="O107" i="5" s="1"/>
  <c r="K107" i="5" a="1"/>
  <c r="K107" i="5" s="1"/>
  <c r="P107" i="5" s="1"/>
  <c r="N107" i="5" a="1"/>
  <c r="N107" i="5" s="1"/>
  <c r="U107" i="5" a="1"/>
  <c r="U107" i="5" s="1"/>
  <c r="M107" i="5" a="1"/>
  <c r="M107" i="5" s="1"/>
  <c r="L107" i="5" a="1"/>
  <c r="L107" i="5" s="1"/>
  <c r="Q107" i="5" s="1"/>
  <c r="R107" i="5" s="1"/>
  <c r="V125" i="5" a="1"/>
  <c r="V125" i="5" s="1"/>
  <c r="W125" i="5" s="1"/>
  <c r="Y125" i="5" s="1"/>
  <c r="Z125" i="5" s="1"/>
  <c r="X125" i="5" a="1"/>
  <c r="X125" i="5" s="1"/>
  <c r="N138" i="5" a="1"/>
  <c r="N138" i="5" s="1"/>
  <c r="O138" i="5" a="1"/>
  <c r="O138" i="5" s="1"/>
  <c r="P138" i="5"/>
  <c r="M138" i="5" a="1"/>
  <c r="M138" i="5" s="1"/>
  <c r="Q138" i="5"/>
  <c r="K138" i="5" a="1"/>
  <c r="K138" i="5" s="1"/>
  <c r="R138" i="5"/>
  <c r="U138" i="5" a="1"/>
  <c r="U138" i="5" s="1"/>
  <c r="L138" i="5" a="1"/>
  <c r="L138" i="5" s="1"/>
  <c r="M137" i="5" a="1"/>
  <c r="M137" i="5" s="1"/>
  <c r="N137" i="5" a="1"/>
  <c r="N137" i="5" s="1"/>
  <c r="O137" i="5" a="1"/>
  <c r="O137" i="5" s="1"/>
  <c r="U137" i="5" a="1"/>
  <c r="U137" i="5" s="1"/>
  <c r="K137" i="5" a="1"/>
  <c r="K137" i="5" s="1"/>
  <c r="P137" i="5" s="1"/>
  <c r="L137" i="5" a="1"/>
  <c r="L137" i="5" s="1"/>
  <c r="Q137" i="5"/>
  <c r="R137" i="5" s="1"/>
  <c r="N66" i="5" a="1"/>
  <c r="N66" i="5" s="1"/>
  <c r="O66" i="5" a="1"/>
  <c r="O66" i="5" s="1"/>
  <c r="Q66" i="5"/>
  <c r="R66" i="5" s="1"/>
  <c r="L66" i="5" a="1"/>
  <c r="L66" i="5" s="1"/>
  <c r="M66" i="5" a="1"/>
  <c r="M66" i="5" s="1"/>
  <c r="U66" i="5" a="1"/>
  <c r="U66" i="5" s="1"/>
  <c r="K66" i="5" a="1"/>
  <c r="K66" i="5" s="1"/>
  <c r="P66" i="5"/>
  <c r="AC68" i="5"/>
  <c r="S68" i="5"/>
  <c r="AA68" i="5"/>
  <c r="U20" i="5" a="1"/>
  <c r="U20" i="5" s="1"/>
  <c r="K20" i="5" a="1"/>
  <c r="K20" i="5" s="1"/>
  <c r="P20" i="5" s="1"/>
  <c r="N20" i="5" a="1"/>
  <c r="N20" i="5" s="1"/>
  <c r="L20" i="5" a="1"/>
  <c r="L20" i="5" s="1"/>
  <c r="M20" i="5" a="1"/>
  <c r="M20" i="5" s="1"/>
  <c r="O20" i="5" a="1"/>
  <c r="O20" i="5" s="1"/>
  <c r="Q20" i="5"/>
  <c r="R20" i="5" s="1"/>
  <c r="AA33" i="5"/>
  <c r="AC33" i="5"/>
  <c r="S33" i="5"/>
  <c r="R56" i="5"/>
  <c r="U56" i="5" a="1"/>
  <c r="U56" i="5" s="1"/>
  <c r="Q56" i="5"/>
  <c r="K56" i="5" a="1"/>
  <c r="K56" i="5" s="1"/>
  <c r="P56" i="5" s="1"/>
  <c r="M56" i="5" a="1"/>
  <c r="M56" i="5" s="1"/>
  <c r="N56" i="5" a="1"/>
  <c r="N56" i="5" s="1"/>
  <c r="O56" i="5" a="1"/>
  <c r="O56" i="5" s="1"/>
  <c r="L56" i="5" a="1"/>
  <c r="L56" i="5" s="1"/>
  <c r="O45" i="5" a="1"/>
  <c r="O45" i="5" s="1"/>
  <c r="N45" i="5" a="1"/>
  <c r="N45" i="5" s="1"/>
  <c r="U45" i="5" a="1"/>
  <c r="U45" i="5" s="1"/>
  <c r="K45" i="5" a="1"/>
  <c r="K45" i="5" s="1"/>
  <c r="P45" i="5" s="1"/>
  <c r="L45" i="5" a="1"/>
  <c r="L45" i="5" s="1"/>
  <c r="Q45" i="5" s="1"/>
  <c r="R45" i="5" s="1"/>
  <c r="M45" i="5" a="1"/>
  <c r="M45" i="5" s="1"/>
  <c r="M36" i="5" a="1"/>
  <c r="M36" i="5" s="1"/>
  <c r="N36" i="5" a="1"/>
  <c r="N36" i="5" s="1"/>
  <c r="U36" i="5" a="1"/>
  <c r="U36" i="5" s="1"/>
  <c r="K36" i="5" a="1"/>
  <c r="K36" i="5" s="1"/>
  <c r="P36" i="5" s="1"/>
  <c r="L36" i="5" a="1"/>
  <c r="L36" i="5" s="1"/>
  <c r="Q36" i="5" s="1"/>
  <c r="R36" i="5" s="1"/>
  <c r="O36" i="5" a="1"/>
  <c r="O36" i="5" s="1"/>
  <c r="S47" i="5"/>
  <c r="AA47" i="5"/>
  <c r="AC47" i="5"/>
  <c r="K60" i="5" a="1"/>
  <c r="K60" i="5" s="1"/>
  <c r="P60" i="5" s="1"/>
  <c r="L60" i="5" a="1"/>
  <c r="L60" i="5" s="1"/>
  <c r="Q60" i="5"/>
  <c r="R60" i="5" s="1"/>
  <c r="M60" i="5" a="1"/>
  <c r="M60" i="5" s="1"/>
  <c r="N60" i="5" a="1"/>
  <c r="N60" i="5" s="1"/>
  <c r="O60" i="5" a="1"/>
  <c r="O60" i="5" s="1"/>
  <c r="U60" i="5" a="1"/>
  <c r="U60" i="5" s="1"/>
  <c r="AD25" i="5"/>
  <c r="T25" i="5"/>
  <c r="AC76" i="5"/>
  <c r="S76" i="5"/>
  <c r="AA76" i="5"/>
  <c r="S62" i="5"/>
  <c r="AA62" i="5"/>
  <c r="AC62" i="5"/>
  <c r="P50" i="5"/>
  <c r="V59" i="5" a="1"/>
  <c r="V59" i="5" s="1"/>
  <c r="W59" i="5" s="1"/>
  <c r="Y59" i="5" s="1"/>
  <c r="Z59" i="5" s="1"/>
  <c r="X59" i="5" a="1"/>
  <c r="X59" i="5" s="1"/>
  <c r="AA93" i="5"/>
  <c r="S93" i="5"/>
  <c r="AC93" i="5"/>
  <c r="AC102" i="5"/>
  <c r="S102" i="5"/>
  <c r="AA102" i="5"/>
  <c r="AA101" i="5"/>
  <c r="AC101" i="5"/>
  <c r="S101" i="5"/>
  <c r="AA90" i="5"/>
  <c r="AC90" i="5"/>
  <c r="S90" i="5"/>
  <c r="P108" i="5"/>
  <c r="L108" i="5" a="1"/>
  <c r="L108" i="5" s="1"/>
  <c r="O108" i="5" a="1"/>
  <c r="O108" i="5" s="1"/>
  <c r="K108" i="5" a="1"/>
  <c r="K108" i="5" s="1"/>
  <c r="M108" i="5" a="1"/>
  <c r="M108" i="5" s="1"/>
  <c r="Q108" i="5"/>
  <c r="U108" i="5" a="1"/>
  <c r="U108" i="5" s="1"/>
  <c r="N108" i="5" a="1"/>
  <c r="N108" i="5" s="1"/>
  <c r="R108" i="5"/>
  <c r="I112" i="5"/>
  <c r="I107" i="5"/>
  <c r="K124" i="5" a="1"/>
  <c r="K124" i="5" s="1"/>
  <c r="M124" i="5" a="1"/>
  <c r="M124" i="5" s="1"/>
  <c r="P124" i="5"/>
  <c r="Q124" i="5"/>
  <c r="R124" i="5" s="1"/>
  <c r="L124" i="5" a="1"/>
  <c r="L124" i="5" s="1"/>
  <c r="N124" i="5" a="1"/>
  <c r="N124" i="5" s="1"/>
  <c r="O124" i="5" a="1"/>
  <c r="O124" i="5" s="1"/>
  <c r="U124" i="5" a="1"/>
  <c r="U124" i="5" s="1"/>
  <c r="T118" i="5"/>
  <c r="AD118" i="5"/>
  <c r="AC116" i="5"/>
  <c r="AA116" i="5"/>
  <c r="S116" i="5"/>
  <c r="I138" i="5"/>
  <c r="X43" i="5" a="1"/>
  <c r="X43" i="5" s="1"/>
  <c r="V43" i="5" a="1"/>
  <c r="V43" i="5" s="1"/>
  <c r="W43" i="5" s="1"/>
  <c r="Y43" i="5" s="1"/>
  <c r="Z43" i="5" s="1"/>
  <c r="K89" i="5" a="1"/>
  <c r="K89" i="5" s="1"/>
  <c r="L89" i="5" a="1"/>
  <c r="L89" i="5" s="1"/>
  <c r="Q89" i="5" s="1"/>
  <c r="R89" i="5" s="1"/>
  <c r="M89" i="5" a="1"/>
  <c r="M89" i="5" s="1"/>
  <c r="N89" i="5" a="1"/>
  <c r="N89" i="5" s="1"/>
  <c r="P89" i="5"/>
  <c r="O89" i="5" a="1"/>
  <c r="O89" i="5" s="1"/>
  <c r="U89" i="5" a="1"/>
  <c r="U89" i="5" s="1"/>
  <c r="M80" i="5" a="1"/>
  <c r="M80" i="5" s="1"/>
  <c r="O80" i="5" a="1"/>
  <c r="O80" i="5" s="1"/>
  <c r="P80" i="5"/>
  <c r="L80" i="5" a="1"/>
  <c r="L80" i="5" s="1"/>
  <c r="Q80" i="5" s="1"/>
  <c r="R80" i="5" s="1"/>
  <c r="N80" i="5" a="1"/>
  <c r="N80" i="5" s="1"/>
  <c r="U80" i="5" a="1"/>
  <c r="U80" i="5" s="1"/>
  <c r="K80" i="5" a="1"/>
  <c r="K80" i="5" s="1"/>
  <c r="N102" i="5" a="1"/>
  <c r="N102" i="5" s="1"/>
  <c r="K102" i="5" a="1"/>
  <c r="K102" i="5" s="1"/>
  <c r="M102" i="5" a="1"/>
  <c r="M102" i="5" s="1"/>
  <c r="P102" i="5"/>
  <c r="Q102" i="5"/>
  <c r="R102" i="5" s="1"/>
  <c r="L102" i="5" a="1"/>
  <c r="L102" i="5" s="1"/>
  <c r="O102" i="5" a="1"/>
  <c r="O102" i="5" s="1"/>
  <c r="U102" i="5" a="1"/>
  <c r="U102" i="5" s="1"/>
  <c r="N101" i="5" a="1"/>
  <c r="N101" i="5" s="1"/>
  <c r="P101" i="5"/>
  <c r="L101" i="5" a="1"/>
  <c r="L101" i="5" s="1"/>
  <c r="K101" i="5" a="1"/>
  <c r="K101" i="5" s="1"/>
  <c r="O101" i="5" a="1"/>
  <c r="O101" i="5" s="1"/>
  <c r="U101" i="5" a="1"/>
  <c r="U101" i="5" s="1"/>
  <c r="M101" i="5" a="1"/>
  <c r="M101" i="5" s="1"/>
  <c r="Q101" i="5"/>
  <c r="R101" i="5" s="1"/>
  <c r="K90" i="5" a="1"/>
  <c r="K90" i="5" s="1"/>
  <c r="L90" i="5" a="1"/>
  <c r="L90" i="5" s="1"/>
  <c r="O90" i="5" a="1"/>
  <c r="O90" i="5" s="1"/>
  <c r="Q90" i="5"/>
  <c r="R90" i="5" s="1"/>
  <c r="M90" i="5" a="1"/>
  <c r="M90" i="5" s="1"/>
  <c r="N90" i="5" a="1"/>
  <c r="N90" i="5" s="1"/>
  <c r="U90" i="5" a="1"/>
  <c r="U90" i="5" s="1"/>
  <c r="P90" i="5"/>
  <c r="M109" i="5" a="1"/>
  <c r="M109" i="5" s="1"/>
  <c r="K109" i="5" a="1"/>
  <c r="K109" i="5" s="1"/>
  <c r="P109" i="5"/>
  <c r="L109" i="5" a="1"/>
  <c r="L109" i="5" s="1"/>
  <c r="Q109" i="5" s="1"/>
  <c r="R109" i="5" s="1"/>
  <c r="N109" i="5" a="1"/>
  <c r="N109" i="5" s="1"/>
  <c r="O109" i="5" a="1"/>
  <c r="O109" i="5" s="1"/>
  <c r="U109" i="5" a="1"/>
  <c r="U109" i="5" s="1"/>
  <c r="AA107" i="5"/>
  <c r="AC107" i="5"/>
  <c r="S107" i="5"/>
  <c r="X106" i="5" a="1"/>
  <c r="X106" i="5" s="1"/>
  <c r="V106" i="5" a="1"/>
  <c r="V106" i="5" s="1"/>
  <c r="W106" i="5" s="1"/>
  <c r="Y106" i="5" s="1"/>
  <c r="Z106" i="5" s="1"/>
  <c r="N114" i="5" a="1"/>
  <c r="N114" i="5" s="1"/>
  <c r="M114" i="5" a="1"/>
  <c r="M114" i="5" s="1"/>
  <c r="O114" i="5" a="1"/>
  <c r="O114" i="5" s="1"/>
  <c r="Q114" i="5"/>
  <c r="R114" i="5" s="1"/>
  <c r="K114" i="5" a="1"/>
  <c r="K114" i="5" s="1"/>
  <c r="P114" i="5" s="1"/>
  <c r="U114" i="5" a="1"/>
  <c r="U114" i="5" s="1"/>
  <c r="L114" i="5" a="1"/>
  <c r="L114" i="5" s="1"/>
  <c r="I122" i="5"/>
  <c r="I136" i="5"/>
  <c r="S133" i="5"/>
  <c r="AA133" i="5"/>
  <c r="AC133" i="5"/>
  <c r="I127" i="5"/>
  <c r="L7" i="5" a="1"/>
  <c r="L7" i="5" s="1"/>
  <c r="Q7" i="5" s="1"/>
  <c r="R7" i="5" s="1"/>
  <c r="M7" i="5" a="1"/>
  <c r="M7" i="5" s="1"/>
  <c r="N7" i="5" a="1"/>
  <c r="N7" i="5" s="1"/>
  <c r="O7" i="5" a="1"/>
  <c r="O7" i="5" s="1"/>
  <c r="U7" i="5" a="1"/>
  <c r="U7" i="5" s="1"/>
  <c r="K7" i="5" a="1"/>
  <c r="K7" i="5" s="1"/>
  <c r="P7" i="5" s="1"/>
  <c r="AA9" i="5"/>
  <c r="AC9" i="5"/>
  <c r="S9" i="5"/>
  <c r="S23" i="5"/>
  <c r="AC23" i="5"/>
  <c r="AA23" i="5"/>
  <c r="AD49" i="5"/>
  <c r="T49" i="5"/>
  <c r="P11" i="5"/>
  <c r="Q11" i="5"/>
  <c r="R11" i="5" s="1"/>
  <c r="K11" i="5" a="1"/>
  <c r="K11" i="5" s="1"/>
  <c r="L11" i="5" a="1"/>
  <c r="L11" i="5" s="1"/>
  <c r="M11" i="5" a="1"/>
  <c r="M11" i="5" s="1"/>
  <c r="O11" i="5" a="1"/>
  <c r="O11" i="5" s="1"/>
  <c r="U11" i="5" a="1"/>
  <c r="U11" i="5" s="1"/>
  <c r="N11" i="5" a="1"/>
  <c r="N11" i="5" s="1"/>
  <c r="M31" i="5" a="1"/>
  <c r="M31" i="5" s="1"/>
  <c r="N31" i="5" a="1"/>
  <c r="N31" i="5" s="1"/>
  <c r="L31" i="5" a="1"/>
  <c r="L31" i="5" s="1"/>
  <c r="Q31" i="5" s="1"/>
  <c r="R31" i="5" s="1"/>
  <c r="O31" i="5" a="1"/>
  <c r="O31" i="5" s="1"/>
  <c r="P31" i="5"/>
  <c r="K31" i="5" a="1"/>
  <c r="K31" i="5" s="1"/>
  <c r="U31" i="5" a="1"/>
  <c r="U31" i="5" s="1"/>
  <c r="I42" i="5"/>
  <c r="I33" i="5"/>
  <c r="AA37" i="5"/>
  <c r="S37" i="5"/>
  <c r="AC37" i="5"/>
  <c r="I56" i="5"/>
  <c r="K46" i="5" a="1"/>
  <c r="K46" i="5" s="1"/>
  <c r="P46" i="5" s="1"/>
  <c r="O46" i="5" a="1"/>
  <c r="O46" i="5" s="1"/>
  <c r="U46" i="5" a="1"/>
  <c r="U46" i="5" s="1"/>
  <c r="L46" i="5" a="1"/>
  <c r="L46" i="5" s="1"/>
  <c r="Q46" i="5" s="1"/>
  <c r="R46" i="5" s="1"/>
  <c r="M46" i="5" a="1"/>
  <c r="M46" i="5" s="1"/>
  <c r="N46" i="5" a="1"/>
  <c r="N46" i="5" s="1"/>
  <c r="AA45" i="5"/>
  <c r="AC45" i="5"/>
  <c r="S45" i="5"/>
  <c r="I36" i="5"/>
  <c r="AC75" i="5"/>
  <c r="AA75" i="5"/>
  <c r="S75" i="5"/>
  <c r="O67" i="5" a="1"/>
  <c r="O67" i="5" s="1"/>
  <c r="K67" i="5" a="1"/>
  <c r="K67" i="5" s="1"/>
  <c r="P67" i="5" s="1"/>
  <c r="L67" i="5" a="1"/>
  <c r="L67" i="5" s="1"/>
  <c r="Q67" i="5" s="1"/>
  <c r="R67" i="5" s="1"/>
  <c r="M67" i="5" a="1"/>
  <c r="M67" i="5" s="1"/>
  <c r="U67" i="5" a="1"/>
  <c r="U67" i="5" s="1"/>
  <c r="N67" i="5" a="1"/>
  <c r="N67" i="5" s="1"/>
  <c r="I101" i="5"/>
  <c r="S92" i="5"/>
  <c r="AA92" i="5"/>
  <c r="AC92" i="5"/>
  <c r="S100" i="5"/>
  <c r="AC100" i="5"/>
  <c r="AA100" i="5"/>
  <c r="M105" i="5" a="1"/>
  <c r="M105" i="5" s="1"/>
  <c r="K105" i="5" a="1"/>
  <c r="K105" i="5" s="1"/>
  <c r="P105" i="5" s="1"/>
  <c r="N105" i="5" a="1"/>
  <c r="N105" i="5" s="1"/>
  <c r="O105" i="5" a="1"/>
  <c r="O105" i="5" s="1"/>
  <c r="L105" i="5" a="1"/>
  <c r="L105" i="5" s="1"/>
  <c r="Q105" i="5" s="1"/>
  <c r="R105" i="5" s="1"/>
  <c r="U105" i="5" a="1"/>
  <c r="U105" i="5" s="1"/>
  <c r="I109" i="5"/>
  <c r="S114" i="5"/>
  <c r="AC114" i="5"/>
  <c r="AA114" i="5"/>
  <c r="AA130" i="5"/>
  <c r="S130" i="5"/>
  <c r="AC130" i="5"/>
  <c r="X118" i="5" a="1"/>
  <c r="X118" i="5" s="1"/>
  <c r="V118" i="5" a="1"/>
  <c r="V118" i="5" s="1"/>
  <c r="W118" i="5" s="1"/>
  <c r="Y118" i="5" s="1"/>
  <c r="Z118" i="5" s="1"/>
  <c r="AC121" i="5"/>
  <c r="S121" i="5"/>
  <c r="AA121" i="5"/>
  <c r="P140" i="5"/>
  <c r="R140" i="5"/>
  <c r="U140" i="5" a="1"/>
  <c r="U140" i="5" s="1"/>
  <c r="N140" i="5" a="1"/>
  <c r="N140" i="5" s="1"/>
  <c r="O140" i="5" a="1"/>
  <c r="O140" i="5" s="1"/>
  <c r="Q140" i="5"/>
  <c r="L140" i="5" a="1"/>
  <c r="L140" i="5" s="1"/>
  <c r="K140" i="5" a="1"/>
  <c r="K140" i="5" s="1"/>
  <c r="M140" i="5" a="1"/>
  <c r="M140" i="5" s="1"/>
  <c r="N127" i="5" a="1"/>
  <c r="N127" i="5" s="1"/>
  <c r="L127" i="5" a="1"/>
  <c r="L127" i="5" s="1"/>
  <c r="Q127" i="5" s="1"/>
  <c r="R127" i="5" s="1"/>
  <c r="K127" i="5" a="1"/>
  <c r="K127" i="5" s="1"/>
  <c r="P127" i="5" s="1"/>
  <c r="U127" i="5" a="1"/>
  <c r="U127" i="5" s="1"/>
  <c r="M127" i="5" a="1"/>
  <c r="M127" i="5" s="1"/>
  <c r="O127" i="5" a="1"/>
  <c r="O127" i="5" s="1"/>
  <c r="M8" i="5" a="1"/>
  <c r="M8" i="5" s="1"/>
  <c r="N8" i="5" a="1"/>
  <c r="N8" i="5" s="1"/>
  <c r="O8" i="5" a="1"/>
  <c r="O8" i="5" s="1"/>
  <c r="U8" i="5" a="1"/>
  <c r="U8" i="5" s="1"/>
  <c r="L8" i="5" a="1"/>
  <c r="L8" i="5" s="1"/>
  <c r="Q8" i="5" s="1"/>
  <c r="R8" i="5" s="1"/>
  <c r="K8" i="5" a="1"/>
  <c r="K8" i="5" s="1"/>
  <c r="P8" i="5" s="1"/>
  <c r="N24" i="5" a="1"/>
  <c r="N24" i="5" s="1"/>
  <c r="O24" i="5" a="1"/>
  <c r="O24" i="5" s="1"/>
  <c r="K24" i="5" a="1"/>
  <c r="K24" i="5" s="1"/>
  <c r="L24" i="5" a="1"/>
  <c r="L24" i="5" s="1"/>
  <c r="M24" i="5" a="1"/>
  <c r="M24" i="5" s="1"/>
  <c r="P24" i="5"/>
  <c r="Q24" i="5"/>
  <c r="R24" i="5" s="1"/>
  <c r="U24" i="5" a="1"/>
  <c r="U24" i="5" s="1"/>
  <c r="N73" i="5" a="1"/>
  <c r="N73" i="5" s="1"/>
  <c r="Q73" i="5"/>
  <c r="U73" i="5" a="1"/>
  <c r="U73" i="5" s="1"/>
  <c r="L73" i="5" a="1"/>
  <c r="L73" i="5" s="1"/>
  <c r="M73" i="5" a="1"/>
  <c r="M73" i="5" s="1"/>
  <c r="O73" i="5" a="1"/>
  <c r="O73" i="5" s="1"/>
  <c r="P73" i="5"/>
  <c r="R73" i="5"/>
  <c r="K73" i="5" a="1"/>
  <c r="K73" i="5" s="1"/>
  <c r="K70" i="5" a="1"/>
  <c r="K70" i="5" s="1"/>
  <c r="N70" i="5" a="1"/>
  <c r="N70" i="5" s="1"/>
  <c r="Q70" i="5"/>
  <c r="R70" i="5" s="1"/>
  <c r="L70" i="5" a="1"/>
  <c r="L70" i="5" s="1"/>
  <c r="M70" i="5" a="1"/>
  <c r="M70" i="5" s="1"/>
  <c r="O70" i="5" a="1"/>
  <c r="O70" i="5" s="1"/>
  <c r="P70" i="5"/>
  <c r="U70" i="5" a="1"/>
  <c r="U70" i="5" s="1"/>
  <c r="T59" i="5"/>
  <c r="AD59" i="5" s="1"/>
  <c r="AD64" i="5"/>
  <c r="T64" i="5"/>
  <c r="P68" i="5"/>
  <c r="U87" i="5" a="1"/>
  <c r="U87" i="5" s="1"/>
  <c r="N87" i="5" a="1"/>
  <c r="N87" i="5" s="1"/>
  <c r="K87" i="5" a="1"/>
  <c r="K87" i="5" s="1"/>
  <c r="P87" i="5" s="1"/>
  <c r="M87" i="5" a="1"/>
  <c r="M87" i="5" s="1"/>
  <c r="L87" i="5" a="1"/>
  <c r="L87" i="5" s="1"/>
  <c r="Q87" i="5" s="1"/>
  <c r="R87" i="5" s="1"/>
  <c r="O87" i="5" a="1"/>
  <c r="O87" i="5" s="1"/>
  <c r="M100" i="5" a="1"/>
  <c r="M100" i="5" s="1"/>
  <c r="L100" i="5" a="1"/>
  <c r="L100" i="5" s="1"/>
  <c r="O100" i="5" a="1"/>
  <c r="O100" i="5" s="1"/>
  <c r="U100" i="5" a="1"/>
  <c r="U100" i="5" s="1"/>
  <c r="P100" i="5"/>
  <c r="Q100" i="5"/>
  <c r="R100" i="5" s="1"/>
  <c r="K100" i="5" a="1"/>
  <c r="K100" i="5" s="1"/>
  <c r="N100" i="5" a="1"/>
  <c r="N100" i="5" s="1"/>
  <c r="I99" i="5"/>
  <c r="AC108" i="5"/>
  <c r="AA108" i="5"/>
  <c r="S108" i="5"/>
  <c r="AC109" i="5"/>
  <c r="AA109" i="5"/>
  <c r="S109" i="5"/>
  <c r="O123" i="5" a="1"/>
  <c r="O123" i="5" s="1"/>
  <c r="U123" i="5" a="1"/>
  <c r="U123" i="5" s="1"/>
  <c r="M123" i="5" a="1"/>
  <c r="M123" i="5" s="1"/>
  <c r="K123" i="5" a="1"/>
  <c r="K123" i="5" s="1"/>
  <c r="P123" i="5" s="1"/>
  <c r="L123" i="5" a="1"/>
  <c r="L123" i="5" s="1"/>
  <c r="Q123" i="5"/>
  <c r="R123" i="5" s="1"/>
  <c r="N123" i="5" a="1"/>
  <c r="N123" i="5" s="1"/>
  <c r="T106" i="5"/>
  <c r="AD106" i="5"/>
  <c r="K136" i="5" a="1"/>
  <c r="K136" i="5" s="1"/>
  <c r="L136" i="5" a="1"/>
  <c r="L136" i="5" s="1"/>
  <c r="M136" i="5" a="1"/>
  <c r="M136" i="5" s="1"/>
  <c r="P136" i="5"/>
  <c r="Q136" i="5"/>
  <c r="R136" i="5"/>
  <c r="O136" i="5" a="1"/>
  <c r="O136" i="5" s="1"/>
  <c r="N136" i="5" a="1"/>
  <c r="N136" i="5" s="1"/>
  <c r="U136" i="5" a="1"/>
  <c r="U136" i="5" s="1"/>
  <c r="AC140" i="5"/>
  <c r="S140" i="5"/>
  <c r="AA140" i="5"/>
  <c r="U133" i="5" a="1"/>
  <c r="U133" i="5" s="1"/>
  <c r="Q133" i="5"/>
  <c r="R133" i="5"/>
  <c r="M133" i="5" a="1"/>
  <c r="M133" i="5" s="1"/>
  <c r="P133" i="5"/>
  <c r="K133" i="5" a="1"/>
  <c r="K133" i="5" s="1"/>
  <c r="L133" i="5" a="1"/>
  <c r="L133" i="5" s="1"/>
  <c r="N133" i="5" a="1"/>
  <c r="N133" i="5" s="1"/>
  <c r="O133" i="5" a="1"/>
  <c r="O133" i="5" s="1"/>
  <c r="AA137" i="5"/>
  <c r="S137" i="5"/>
  <c r="AC137" i="5"/>
  <c r="AA128" i="5"/>
  <c r="AC128" i="5"/>
  <c r="S128" i="5"/>
  <c r="L42" i="5" a="1"/>
  <c r="L42" i="5" s="1"/>
  <c r="Q42" i="5" s="1"/>
  <c r="R42" i="5" s="1"/>
  <c r="K42" i="5" a="1"/>
  <c r="K42" i="5" s="1"/>
  <c r="N42" i="5" a="1"/>
  <c r="N42" i="5" s="1"/>
  <c r="O42" i="5" a="1"/>
  <c r="O42" i="5" s="1"/>
  <c r="P42" i="5"/>
  <c r="U42" i="5" a="1"/>
  <c r="U42" i="5" s="1"/>
  <c r="M42" i="5" a="1"/>
  <c r="M42" i="5" s="1"/>
  <c r="T28" i="5"/>
  <c r="AD28" i="5"/>
  <c r="AC26" i="5"/>
  <c r="AA26" i="5"/>
  <c r="S26" i="5"/>
  <c r="AC46" i="5"/>
  <c r="AA46" i="5"/>
  <c r="S46" i="5"/>
  <c r="AA51" i="5"/>
  <c r="AC51" i="5"/>
  <c r="S51" i="5"/>
  <c r="S36" i="5"/>
  <c r="AA36" i="5"/>
  <c r="AC36" i="5"/>
  <c r="X14" i="5" a="1"/>
  <c r="X14" i="5" s="1"/>
  <c r="V14" i="5" a="1"/>
  <c r="V14" i="5" s="1"/>
  <c r="W14" i="5" s="1"/>
  <c r="Y14" i="5" s="1"/>
  <c r="Z14" i="5" s="1"/>
  <c r="T15" i="5"/>
  <c r="AD15" i="5"/>
  <c r="U61" i="5" a="1"/>
  <c r="U61" i="5" s="1"/>
  <c r="K61" i="5" a="1"/>
  <c r="K61" i="5" s="1"/>
  <c r="L61" i="5" a="1"/>
  <c r="L61" i="5" s="1"/>
  <c r="Q61" i="5" s="1"/>
  <c r="R61" i="5" s="1"/>
  <c r="P61" i="5"/>
  <c r="M61" i="5" a="1"/>
  <c r="M61" i="5" s="1"/>
  <c r="N61" i="5" a="1"/>
  <c r="N61" i="5" s="1"/>
  <c r="O61" i="5" a="1"/>
  <c r="O61" i="5" s="1"/>
  <c r="P39" i="5"/>
  <c r="K39" i="5" a="1"/>
  <c r="K39" i="5" s="1"/>
  <c r="M39" i="5" a="1"/>
  <c r="M39" i="5" s="1"/>
  <c r="L39" i="5" a="1"/>
  <c r="L39" i="5" s="1"/>
  <c r="Q39" i="5" s="1"/>
  <c r="R39" i="5" s="1"/>
  <c r="U39" i="5" a="1"/>
  <c r="U39" i="5" s="1"/>
  <c r="N39" i="5" a="1"/>
  <c r="N39" i="5" s="1"/>
  <c r="O39" i="5" a="1"/>
  <c r="O39" i="5" s="1"/>
  <c r="S53" i="5"/>
  <c r="AA53" i="5"/>
  <c r="AC53" i="5"/>
  <c r="P63" i="5"/>
  <c r="I86" i="5"/>
  <c r="K98" i="5" a="1"/>
  <c r="K98" i="5" s="1"/>
  <c r="P98" i="5" s="1"/>
  <c r="O98" i="5" a="1"/>
  <c r="O98" i="5" s="1"/>
  <c r="M98" i="5" a="1"/>
  <c r="M98" i="5" s="1"/>
  <c r="N98" i="5" a="1"/>
  <c r="N98" i="5" s="1"/>
  <c r="U98" i="5" a="1"/>
  <c r="U98" i="5" s="1"/>
  <c r="L98" i="5" a="1"/>
  <c r="L98" i="5" s="1"/>
  <c r="Q98" i="5" s="1"/>
  <c r="R98" i="5" s="1"/>
  <c r="I85" i="5"/>
  <c r="M92" i="5" a="1"/>
  <c r="M92" i="5" s="1"/>
  <c r="U92" i="5" a="1"/>
  <c r="U92" i="5" s="1"/>
  <c r="L92" i="5" a="1"/>
  <c r="L92" i="5" s="1"/>
  <c r="O92" i="5" a="1"/>
  <c r="O92" i="5" s="1"/>
  <c r="K92" i="5" a="1"/>
  <c r="K92" i="5" s="1"/>
  <c r="P92" i="5" s="1"/>
  <c r="N92" i="5" a="1"/>
  <c r="N92" i="5" s="1"/>
  <c r="Q92" i="5"/>
  <c r="R92" i="5" s="1"/>
  <c r="AA123" i="5"/>
  <c r="AC123" i="5"/>
  <c r="S123" i="5"/>
  <c r="V104" i="5" a="1"/>
  <c r="V104" i="5" s="1"/>
  <c r="W104" i="5" s="1"/>
  <c r="Y104" i="5" s="1"/>
  <c r="X104" i="5" a="1"/>
  <c r="X104" i="5" s="1"/>
  <c r="AC129" i="5"/>
  <c r="S129" i="5"/>
  <c r="AA129" i="5"/>
  <c r="S117" i="5"/>
  <c r="AC117" i="5"/>
  <c r="AA117" i="5"/>
  <c r="K116" i="5" a="1"/>
  <c r="K116" i="5" s="1"/>
  <c r="P116" i="5" s="1"/>
  <c r="L116" i="5" a="1"/>
  <c r="L116" i="5" s="1"/>
  <c r="Q116" i="5" s="1"/>
  <c r="R116" i="5" s="1"/>
  <c r="M116" i="5" a="1"/>
  <c r="M116" i="5" s="1"/>
  <c r="N116" i="5" a="1"/>
  <c r="N116" i="5" s="1"/>
  <c r="U116" i="5" a="1"/>
  <c r="U116" i="5" s="1"/>
  <c r="O116" i="5" a="1"/>
  <c r="O116" i="5" s="1"/>
  <c r="L22" i="5" a="1"/>
  <c r="L22" i="5" s="1"/>
  <c r="Q22" i="5" s="1"/>
  <c r="R22" i="5" s="1"/>
  <c r="M22" i="5" a="1"/>
  <c r="M22" i="5" s="1"/>
  <c r="O22" i="5" a="1"/>
  <c r="O22" i="5" s="1"/>
  <c r="U22" i="5" a="1"/>
  <c r="U22" i="5" s="1"/>
  <c r="K22" i="5" a="1"/>
  <c r="K22" i="5" s="1"/>
  <c r="P22" i="5" s="1"/>
  <c r="N22" i="5" a="1"/>
  <c r="N22" i="5" s="1"/>
  <c r="N27" i="5" a="1"/>
  <c r="N27" i="5" s="1"/>
  <c r="O27" i="5" a="1"/>
  <c r="O27" i="5" s="1"/>
  <c r="U27" i="5" a="1"/>
  <c r="U27" i="5" s="1"/>
  <c r="K27" i="5" a="1"/>
  <c r="K27" i="5" s="1"/>
  <c r="L27" i="5" a="1"/>
  <c r="L27" i="5" s="1"/>
  <c r="Q27" i="5" s="1"/>
  <c r="R27" i="5" s="1"/>
  <c r="P27" i="5"/>
  <c r="M27" i="5" a="1"/>
  <c r="M27" i="5" s="1"/>
  <c r="S49" i="5"/>
  <c r="AA49" i="5"/>
  <c r="AC49" i="5"/>
  <c r="K6" i="5" a="1"/>
  <c r="K6" i="5" s="1"/>
  <c r="P6" i="5" s="1"/>
  <c r="L6" i="5" a="1"/>
  <c r="L6" i="5" s="1"/>
  <c r="M6" i="5" a="1"/>
  <c r="M6" i="5" s="1"/>
  <c r="N6" i="5" a="1"/>
  <c r="N6" i="5" s="1"/>
  <c r="O6" i="5" a="1"/>
  <c r="O6" i="5" s="1"/>
  <c r="Q6" i="5"/>
  <c r="R6" i="5"/>
  <c r="U6" i="5" a="1"/>
  <c r="U6" i="5" s="1"/>
  <c r="I13" i="5"/>
  <c r="I32" i="5"/>
  <c r="O33" i="5" a="1"/>
  <c r="O33" i="5" s="1"/>
  <c r="P33" i="5"/>
  <c r="L33" i="5" a="1"/>
  <c r="L33" i="5" s="1"/>
  <c r="M33" i="5" a="1"/>
  <c r="M33" i="5" s="1"/>
  <c r="N33" i="5" a="1"/>
  <c r="N33" i="5" s="1"/>
  <c r="R33" i="5"/>
  <c r="K33" i="5" a="1"/>
  <c r="K33" i="5" s="1"/>
  <c r="U33" i="5" a="1"/>
  <c r="U33" i="5" s="1"/>
  <c r="Q33" i="5"/>
  <c r="I5" i="5"/>
  <c r="V26" i="5" a="1"/>
  <c r="V26" i="5" s="1"/>
  <c r="W26" i="5" s="1"/>
  <c r="Y26" i="5" s="1"/>
  <c r="Z26" i="5" s="1"/>
  <c r="X26" i="5" a="1"/>
  <c r="X26" i="5" s="1"/>
  <c r="I27" i="5"/>
  <c r="I46" i="5"/>
  <c r="L51" i="5" a="1"/>
  <c r="L51" i="5" s="1"/>
  <c r="K51" i="5" a="1"/>
  <c r="K51" i="5" s="1"/>
  <c r="P51" i="5" s="1"/>
  <c r="M51" i="5" a="1"/>
  <c r="M51" i="5" s="1"/>
  <c r="N51" i="5" a="1"/>
  <c r="N51" i="5" s="1"/>
  <c r="O51" i="5" a="1"/>
  <c r="O51" i="5" s="1"/>
  <c r="Q51" i="5"/>
  <c r="R51" i="5" s="1"/>
  <c r="U51" i="5" a="1"/>
  <c r="U51" i="5" s="1"/>
  <c r="AC39" i="5"/>
  <c r="S39" i="5"/>
  <c r="AA39" i="5"/>
  <c r="T58" i="5"/>
  <c r="AD58" i="5"/>
  <c r="X64" i="5" a="1"/>
  <c r="X64" i="5" s="1"/>
  <c r="V64" i="5" a="1"/>
  <c r="V64" i="5" s="1"/>
  <c r="W64" i="5" s="1"/>
  <c r="Y64" i="5" s="1"/>
  <c r="Z64" i="5" s="1"/>
  <c r="AC85" i="5"/>
  <c r="AA85" i="5"/>
  <c r="S85" i="5"/>
  <c r="L99" i="5" a="1"/>
  <c r="L99" i="5" s="1"/>
  <c r="Q99" i="5" s="1"/>
  <c r="R99" i="5" s="1"/>
  <c r="O99" i="5" a="1"/>
  <c r="O99" i="5" s="1"/>
  <c r="K99" i="5" a="1"/>
  <c r="K99" i="5" s="1"/>
  <c r="P99" i="5" s="1"/>
  <c r="M99" i="5" a="1"/>
  <c r="M99" i="5" s="1"/>
  <c r="U99" i="5" a="1"/>
  <c r="U99" i="5" s="1"/>
  <c r="N99" i="5" a="1"/>
  <c r="N99" i="5" s="1"/>
  <c r="I110" i="5"/>
  <c r="N119" i="5" a="1"/>
  <c r="N119" i="5" s="1"/>
  <c r="K119" i="5" a="1"/>
  <c r="K119" i="5" s="1"/>
  <c r="L119" i="5" a="1"/>
  <c r="L119" i="5" s="1"/>
  <c r="M119" i="5" a="1"/>
  <c r="M119" i="5" s="1"/>
  <c r="O119" i="5" a="1"/>
  <c r="O119" i="5" s="1"/>
  <c r="P119" i="5"/>
  <c r="Q119" i="5"/>
  <c r="R119" i="5" s="1"/>
  <c r="U119" i="5" a="1"/>
  <c r="U119" i="5" s="1"/>
  <c r="S135" i="5"/>
  <c r="AA135" i="5"/>
  <c r="AC135" i="5"/>
  <c r="AC113" i="5"/>
  <c r="AA113" i="5"/>
  <c r="S113" i="5"/>
  <c r="I140" i="5"/>
  <c r="I133" i="5"/>
  <c r="O55" i="5" a="1"/>
  <c r="O55" i="5" s="1"/>
  <c r="U55" i="5" a="1"/>
  <c r="U55" i="5" s="1"/>
  <c r="K55" i="5" a="1"/>
  <c r="K55" i="5" s="1"/>
  <c r="P55" i="5" s="1"/>
  <c r="L55" i="5" a="1"/>
  <c r="L55" i="5" s="1"/>
  <c r="Q55" i="5" s="1"/>
  <c r="R55" i="5" s="1"/>
  <c r="M55" i="5" a="1"/>
  <c r="M55" i="5" s="1"/>
  <c r="N55" i="5" a="1"/>
  <c r="N55" i="5" s="1"/>
  <c r="P62" i="5"/>
  <c r="L62" i="5" a="1"/>
  <c r="L62" i="5" s="1"/>
  <c r="Q62" i="5" s="1"/>
  <c r="R62" i="5" s="1"/>
  <c r="M62" i="5" a="1"/>
  <c r="M62" i="5" s="1"/>
  <c r="N62" i="5" a="1"/>
  <c r="N62" i="5" s="1"/>
  <c r="O62" i="5" a="1"/>
  <c r="O62" i="5" s="1"/>
  <c r="U62" i="5" a="1"/>
  <c r="U62" i="5" s="1"/>
  <c r="K62" i="5" a="1"/>
  <c r="K62" i="5" s="1"/>
  <c r="AA5" i="5"/>
  <c r="AC5" i="5"/>
  <c r="S5" i="5"/>
  <c r="O86" i="5" a="1"/>
  <c r="O86" i="5" s="1"/>
  <c r="N86" i="5" a="1"/>
  <c r="N86" i="5" s="1"/>
  <c r="U86" i="5" a="1"/>
  <c r="U86" i="5" s="1"/>
  <c r="K86" i="5" a="1"/>
  <c r="K86" i="5" s="1"/>
  <c r="P86" i="5" s="1"/>
  <c r="L86" i="5" a="1"/>
  <c r="L86" i="5" s="1"/>
  <c r="Q86" i="5" s="1"/>
  <c r="R86" i="5" s="1"/>
  <c r="M86" i="5" a="1"/>
  <c r="M86" i="5" s="1"/>
  <c r="AA98" i="5"/>
  <c r="S98" i="5"/>
  <c r="AC98" i="5"/>
  <c r="AA97" i="5"/>
  <c r="S97" i="5"/>
  <c r="AC97" i="5"/>
  <c r="S99" i="5"/>
  <c r="AC99" i="5"/>
  <c r="AA99" i="5"/>
  <c r="S110" i="5"/>
  <c r="AA110" i="5"/>
  <c r="AC110" i="5"/>
  <c r="AC119" i="5"/>
  <c r="S119" i="5"/>
  <c r="AA119" i="5"/>
  <c r="L129" i="5" a="1"/>
  <c r="L129" i="5" s="1"/>
  <c r="O129" i="5" a="1"/>
  <c r="O129" i="5" s="1"/>
  <c r="Q129" i="5"/>
  <c r="R129" i="5"/>
  <c r="K129" i="5" a="1"/>
  <c r="K129" i="5" s="1"/>
  <c r="P129" i="5" s="1"/>
  <c r="M129" i="5" a="1"/>
  <c r="M129" i="5" s="1"/>
  <c r="N129" i="5" a="1"/>
  <c r="N129" i="5" s="1"/>
  <c r="U129" i="5" a="1"/>
  <c r="U129" i="5" s="1"/>
  <c r="L117" i="5" a="1"/>
  <c r="L117" i="5" s="1"/>
  <c r="R117" i="5"/>
  <c r="U117" i="5" a="1"/>
  <c r="U117" i="5" s="1"/>
  <c r="O117" i="5" a="1"/>
  <c r="O117" i="5" s="1"/>
  <c r="K117" i="5" a="1"/>
  <c r="K117" i="5" s="1"/>
  <c r="P117" i="5" s="1"/>
  <c r="M117" i="5" a="1"/>
  <c r="M117" i="5" s="1"/>
  <c r="Q117" i="5"/>
  <c r="N117" i="5" a="1"/>
  <c r="N117" i="5" s="1"/>
  <c r="Q135" i="5"/>
  <c r="R135" i="5"/>
  <c r="U135" i="5" a="1"/>
  <c r="U135" i="5" s="1"/>
  <c r="L135" i="5" a="1"/>
  <c r="L135" i="5" s="1"/>
  <c r="M135" i="5" a="1"/>
  <c r="M135" i="5" s="1"/>
  <c r="K135" i="5" a="1"/>
  <c r="K135" i="5" s="1"/>
  <c r="P135" i="5" s="1"/>
  <c r="N135" i="5" a="1"/>
  <c r="N135" i="5" s="1"/>
  <c r="O135" i="5" a="1"/>
  <c r="O135" i="5" s="1"/>
  <c r="X95" i="5" a="1"/>
  <c r="X95" i="5" s="1"/>
  <c r="V95" i="5" a="1"/>
  <c r="V95" i="5" s="1"/>
  <c r="W95" i="5" s="1"/>
  <c r="Y95" i="5" s="1"/>
  <c r="Z95" i="5" s="1"/>
  <c r="P113" i="5"/>
  <c r="Q113" i="5"/>
  <c r="R113" i="5" s="1"/>
  <c r="M113" i="5" a="1"/>
  <c r="M113" i="5" s="1"/>
  <c r="O113" i="5" a="1"/>
  <c r="O113" i="5" s="1"/>
  <c r="U113" i="5" a="1"/>
  <c r="U113" i="5" s="1"/>
  <c r="L113" i="5" a="1"/>
  <c r="L113" i="5" s="1"/>
  <c r="K113" i="5" a="1"/>
  <c r="K113" i="5" s="1"/>
  <c r="N113" i="5" a="1"/>
  <c r="N113" i="5" s="1"/>
  <c r="X121" i="5" a="1"/>
  <c r="X121" i="5" s="1"/>
  <c r="V121" i="5" a="1"/>
  <c r="V121" i="5" s="1"/>
  <c r="W121" i="5" s="1"/>
  <c r="Y121" i="5" s="1"/>
  <c r="Z121" i="5" s="1"/>
  <c r="X41" i="5" a="1"/>
  <c r="X41" i="5" s="1"/>
  <c r="V41" i="5" a="1"/>
  <c r="V41" i="5" s="1"/>
  <c r="W41" i="5" s="1"/>
  <c r="Y41" i="5" s="1"/>
  <c r="Z41" i="5" s="1"/>
  <c r="AA8" i="5"/>
  <c r="AC8" i="5"/>
  <c r="S8" i="5"/>
  <c r="AA25" i="5"/>
  <c r="AC25" i="5"/>
  <c r="S25" i="5"/>
  <c r="AA7" i="5"/>
  <c r="AC7" i="5"/>
  <c r="S7" i="5"/>
  <c r="T16" i="5"/>
  <c r="AD16" i="5" s="1"/>
  <c r="I19" i="5"/>
  <c r="I6" i="5"/>
  <c r="AC11" i="5"/>
  <c r="S11" i="5"/>
  <c r="AA11" i="5"/>
  <c r="AA6" i="5"/>
  <c r="AC6" i="5"/>
  <c r="S6" i="5"/>
  <c r="AA14" i="5"/>
  <c r="AC14" i="5"/>
  <c r="S14" i="5"/>
  <c r="AC20" i="5"/>
  <c r="S20" i="5"/>
  <c r="AA20" i="5"/>
  <c r="T32" i="5"/>
  <c r="AD32" i="5"/>
  <c r="AC60" i="5"/>
  <c r="S60" i="5"/>
  <c r="AA60" i="5"/>
  <c r="S77" i="5"/>
  <c r="AC77" i="5"/>
  <c r="AA77" i="5"/>
  <c r="T50" i="5"/>
  <c r="AD50" i="5" s="1"/>
  <c r="AA67" i="5"/>
  <c r="AC67" i="5"/>
  <c r="S67" i="5"/>
  <c r="K13" i="5" a="1"/>
  <c r="K13" i="5" s="1"/>
  <c r="L13" i="5" a="1"/>
  <c r="L13" i="5" s="1"/>
  <c r="M13" i="5" a="1"/>
  <c r="M13" i="5" s="1"/>
  <c r="N13" i="5" a="1"/>
  <c r="N13" i="5" s="1"/>
  <c r="O13" i="5" a="1"/>
  <c r="O13" i="5" s="1"/>
  <c r="Q13" i="5"/>
  <c r="R13" i="5"/>
  <c r="P13" i="5"/>
  <c r="U13" i="5" a="1"/>
  <c r="U13" i="5" s="1"/>
  <c r="S41" i="5"/>
  <c r="AA41" i="5"/>
  <c r="AC41" i="5"/>
  <c r="T12" i="5"/>
  <c r="AD12" i="5"/>
  <c r="K29" i="5" a="1"/>
  <c r="K29" i="5" s="1"/>
  <c r="P29" i="5" s="1"/>
  <c r="L29" i="5" a="1"/>
  <c r="L29" i="5" s="1"/>
  <c r="M29" i="5" a="1"/>
  <c r="M29" i="5" s="1"/>
  <c r="N29" i="5" a="1"/>
  <c r="N29" i="5" s="1"/>
  <c r="O29" i="5" a="1"/>
  <c r="O29" i="5" s="1"/>
  <c r="Q29" i="5"/>
  <c r="R29" i="5" s="1"/>
  <c r="U29" i="5" a="1"/>
  <c r="U29" i="5" s="1"/>
  <c r="AA17" i="5"/>
  <c r="AC17" i="5"/>
  <c r="S17" i="5"/>
  <c r="I35" i="5"/>
  <c r="O54" i="5" a="1"/>
  <c r="O54" i="5" s="1"/>
  <c r="Q54" i="5"/>
  <c r="R54" i="5" s="1"/>
  <c r="U54" i="5" a="1"/>
  <c r="U54" i="5" s="1"/>
  <c r="K54" i="5" a="1"/>
  <c r="K54" i="5" s="1"/>
  <c r="P54" i="5" s="1"/>
  <c r="M54" i="5" a="1"/>
  <c r="M54" i="5" s="1"/>
  <c r="N54" i="5" a="1"/>
  <c r="N54" i="5" s="1"/>
  <c r="L54" i="5" a="1"/>
  <c r="L54" i="5" s="1"/>
  <c r="I51" i="5"/>
  <c r="AC64" i="5"/>
  <c r="S64" i="5"/>
  <c r="AA64" i="5"/>
  <c r="N44" i="5" a="1"/>
  <c r="N44" i="5" s="1"/>
  <c r="U44" i="5" a="1"/>
  <c r="U44" i="5" s="1"/>
  <c r="K44" i="5" a="1"/>
  <c r="K44" i="5" s="1"/>
  <c r="P44" i="5" s="1"/>
  <c r="L44" i="5" a="1"/>
  <c r="L44" i="5" s="1"/>
  <c r="Q44" i="5" s="1"/>
  <c r="R44" i="5" s="1"/>
  <c r="O44" i="5" a="1"/>
  <c r="O44" i="5" s="1"/>
  <c r="M44" i="5" a="1"/>
  <c r="M44" i="5" s="1"/>
  <c r="M65" i="5" a="1"/>
  <c r="M65" i="5" s="1"/>
  <c r="N65" i="5" a="1"/>
  <c r="N65" i="5" s="1"/>
  <c r="K65" i="5" a="1"/>
  <c r="K65" i="5" s="1"/>
  <c r="L65" i="5" a="1"/>
  <c r="L65" i="5" s="1"/>
  <c r="O65" i="5" a="1"/>
  <c r="O65" i="5" s="1"/>
  <c r="Q65" i="5"/>
  <c r="R65" i="5" s="1"/>
  <c r="P65" i="5"/>
  <c r="U65" i="5" a="1"/>
  <c r="U65" i="5" s="1"/>
  <c r="I71" i="5"/>
  <c r="AA79" i="5"/>
  <c r="S79" i="5"/>
  <c r="AC79" i="5"/>
  <c r="S83" i="5"/>
  <c r="AA83" i="5"/>
  <c r="AC83" i="5"/>
  <c r="AA86" i="5"/>
  <c r="AC86" i="5"/>
  <c r="S86" i="5"/>
  <c r="I95" i="5"/>
  <c r="AA115" i="5"/>
  <c r="AC115" i="5"/>
  <c r="S115" i="5"/>
  <c r="N111" i="5" a="1"/>
  <c r="N111" i="5" s="1"/>
  <c r="K111" i="5" a="1"/>
  <c r="K111" i="5" s="1"/>
  <c r="P111" i="5" s="1"/>
  <c r="U111" i="5" a="1"/>
  <c r="U111" i="5" s="1"/>
  <c r="L111" i="5" a="1"/>
  <c r="L111" i="5" s="1"/>
  <c r="Q111" i="5" s="1"/>
  <c r="R111" i="5" s="1"/>
  <c r="O111" i="5" a="1"/>
  <c r="O111" i="5" s="1"/>
  <c r="M111" i="5" a="1"/>
  <c r="M111" i="5" s="1"/>
  <c r="S105" i="5"/>
  <c r="AC105" i="5"/>
  <c r="AA105" i="5"/>
  <c r="I117" i="5"/>
  <c r="O128" i="5" a="1"/>
  <c r="O128" i="5" s="1"/>
  <c r="U128" i="5" a="1"/>
  <c r="U128" i="5" s="1"/>
  <c r="K128" i="5" a="1"/>
  <c r="K128" i="5" s="1"/>
  <c r="P128" i="5" s="1"/>
  <c r="N128" i="5" a="1"/>
  <c r="N128" i="5" s="1"/>
  <c r="M128" i="5" a="1"/>
  <c r="M128" i="5" s="1"/>
  <c r="L128" i="5" a="1"/>
  <c r="L128" i="5" s="1"/>
  <c r="Q128" i="5" s="1"/>
  <c r="R128" i="5" s="1"/>
  <c r="P75" i="5"/>
  <c r="M75" i="5" a="1"/>
  <c r="M75" i="5" s="1"/>
  <c r="O75" i="5" a="1"/>
  <c r="O75" i="5" s="1"/>
  <c r="K75" i="5" a="1"/>
  <c r="K75" i="5" s="1"/>
  <c r="L75" i="5" a="1"/>
  <c r="L75" i="5" s="1"/>
  <c r="Q75" i="5" s="1"/>
  <c r="R75" i="5" s="1"/>
  <c r="U75" i="5" a="1"/>
  <c r="U75" i="5" s="1"/>
  <c r="N75" i="5" a="1"/>
  <c r="N75" i="5" s="1"/>
  <c r="AA24" i="5"/>
  <c r="AC24" i="5"/>
  <c r="S24" i="5"/>
  <c r="Q12" i="5"/>
  <c r="R12" i="5" s="1"/>
  <c r="V28" i="5" a="1"/>
  <c r="V28" i="5" s="1"/>
  <c r="W28" i="5" s="1"/>
  <c r="Y28" i="5" s="1"/>
  <c r="Z28" i="5" s="1"/>
  <c r="X28" i="5" a="1"/>
  <c r="X28" i="5" s="1"/>
  <c r="AA27" i="5"/>
  <c r="AC27" i="5"/>
  <c r="S27" i="5"/>
  <c r="AA59" i="5"/>
  <c r="AC59" i="5"/>
  <c r="S59" i="5"/>
  <c r="I53" i="5"/>
  <c r="S44" i="5"/>
  <c r="AA44" i="5"/>
  <c r="AC44" i="5"/>
  <c r="S65" i="5"/>
  <c r="AC65" i="5"/>
  <c r="AA65" i="5"/>
  <c r="AD41" i="5"/>
  <c r="T41" i="5"/>
  <c r="I15" i="5"/>
  <c r="AA15" i="5"/>
  <c r="AC15" i="5"/>
  <c r="S15" i="5"/>
  <c r="I22" i="5"/>
  <c r="S43" i="5"/>
  <c r="AA43" i="5"/>
  <c r="AC43" i="5"/>
  <c r="N17" i="5" a="1"/>
  <c r="N17" i="5" s="1"/>
  <c r="O17" i="5" a="1"/>
  <c r="O17" i="5" s="1"/>
  <c r="K17" i="5" a="1"/>
  <c r="K17" i="5" s="1"/>
  <c r="P17" i="5" s="1"/>
  <c r="M17" i="5" a="1"/>
  <c r="M17" i="5" s="1"/>
  <c r="L17" i="5" a="1"/>
  <c r="L17" i="5" s="1"/>
  <c r="Q17" i="5" s="1"/>
  <c r="R17" i="5" s="1"/>
  <c r="U17" i="5" a="1"/>
  <c r="U17" i="5" s="1"/>
  <c r="AC35" i="5"/>
  <c r="S35" i="5"/>
  <c r="AA35" i="5"/>
  <c r="AD26" i="5"/>
  <c r="T26" i="5"/>
  <c r="M69" i="5" a="1"/>
  <c r="M69" i="5" s="1"/>
  <c r="L69" i="5" a="1"/>
  <c r="L69" i="5" s="1"/>
  <c r="Q69" i="5" s="1"/>
  <c r="R69" i="5" s="1"/>
  <c r="N69" i="5" a="1"/>
  <c r="N69" i="5" s="1"/>
  <c r="K69" i="5" a="1"/>
  <c r="K69" i="5" s="1"/>
  <c r="P69" i="5" s="1"/>
  <c r="O69" i="5" a="1"/>
  <c r="O69" i="5" s="1"/>
  <c r="U69" i="5" a="1"/>
  <c r="U69" i="5" s="1"/>
  <c r="I76" i="5"/>
  <c r="T82" i="5"/>
  <c r="AD82" i="5" s="1"/>
  <c r="AA71" i="5"/>
  <c r="S71" i="5"/>
  <c r="AC71" i="5"/>
  <c r="L79" i="5" a="1"/>
  <c r="L79" i="5" s="1"/>
  <c r="Q79" i="5"/>
  <c r="U79" i="5" a="1"/>
  <c r="U79" i="5" s="1"/>
  <c r="R79" i="5"/>
  <c r="K79" i="5" a="1"/>
  <c r="K79" i="5" s="1"/>
  <c r="P79" i="5" s="1"/>
  <c r="M79" i="5" a="1"/>
  <c r="M79" i="5" s="1"/>
  <c r="N79" i="5" a="1"/>
  <c r="N79" i="5" s="1"/>
  <c r="O79" i="5" a="1"/>
  <c r="O79" i="5" s="1"/>
  <c r="N85" i="5" a="1"/>
  <c r="N85" i="5" s="1"/>
  <c r="L85" i="5" a="1"/>
  <c r="L85" i="5" s="1"/>
  <c r="Q85" i="5" s="1"/>
  <c r="R85" i="5" s="1"/>
  <c r="M85" i="5" a="1"/>
  <c r="M85" i="5" s="1"/>
  <c r="O85" i="5" a="1"/>
  <c r="O85" i="5" s="1"/>
  <c r="U85" i="5" a="1"/>
  <c r="U85" i="5" s="1"/>
  <c r="K85" i="5" a="1"/>
  <c r="K85" i="5" s="1"/>
  <c r="P85" i="5" s="1"/>
  <c r="N97" i="5" a="1"/>
  <c r="N97" i="5" s="1"/>
  <c r="U97" i="5" a="1"/>
  <c r="U97" i="5" s="1"/>
  <c r="K97" i="5" a="1"/>
  <c r="K97" i="5" s="1"/>
  <c r="P97" i="5" s="1"/>
  <c r="M97" i="5" a="1"/>
  <c r="M97" i="5" s="1"/>
  <c r="L97" i="5" a="1"/>
  <c r="L97" i="5" s="1"/>
  <c r="Q97" i="5" s="1"/>
  <c r="R97" i="5" s="1"/>
  <c r="O97" i="5" a="1"/>
  <c r="O97" i="5" s="1"/>
  <c r="M110" i="5" a="1"/>
  <c r="M110" i="5" s="1"/>
  <c r="U110" i="5" a="1"/>
  <c r="U110" i="5" s="1"/>
  <c r="N110" i="5" a="1"/>
  <c r="N110" i="5" s="1"/>
  <c r="O110" i="5" a="1"/>
  <c r="O110" i="5" s="1"/>
  <c r="K110" i="5" a="1"/>
  <c r="K110" i="5" s="1"/>
  <c r="L110" i="5" a="1"/>
  <c r="L110" i="5" s="1"/>
  <c r="Q110" i="5" s="1"/>
  <c r="R110" i="5" s="1"/>
  <c r="P110" i="5"/>
  <c r="AA103" i="5"/>
  <c r="S103" i="5"/>
  <c r="AC103" i="5"/>
  <c r="S131" i="5"/>
  <c r="AA131" i="5"/>
  <c r="AC131" i="5"/>
  <c r="I135" i="5"/>
  <c r="X52" i="5" a="1"/>
  <c r="X52" i="5" s="1"/>
  <c r="V52" i="5" a="1"/>
  <c r="V52" i="5" s="1"/>
  <c r="W52" i="5" s="1"/>
  <c r="Y52" i="5" s="1"/>
  <c r="Z52" i="5" s="1"/>
  <c r="AC87" i="5"/>
  <c r="S87" i="5"/>
  <c r="AA87" i="5"/>
  <c r="AA21" i="5"/>
  <c r="S21" i="5"/>
  <c r="AC21" i="5"/>
  <c r="AA32" i="5"/>
  <c r="S32" i="5"/>
  <c r="AC32" i="5"/>
  <c r="U5" i="5" a="1"/>
  <c r="U5" i="5" s="1"/>
  <c r="K5" i="5" a="1"/>
  <c r="K5" i="5" s="1"/>
  <c r="L5" i="5" a="1"/>
  <c r="L5" i="5" s="1"/>
  <c r="M5" i="5" a="1"/>
  <c r="M5" i="5" s="1"/>
  <c r="N5" i="5" a="1"/>
  <c r="N5" i="5" s="1"/>
  <c r="O5" i="5" a="1"/>
  <c r="O5" i="5" s="1"/>
  <c r="P5" i="5"/>
  <c r="Q5" i="5"/>
  <c r="R5" i="5" s="1"/>
  <c r="AA16" i="5"/>
  <c r="AC16" i="5"/>
  <c r="S16" i="5"/>
  <c r="N9" i="5" a="1"/>
  <c r="N9" i="5" s="1"/>
  <c r="O9" i="5" a="1"/>
  <c r="O9" i="5" s="1"/>
  <c r="Q9" i="5"/>
  <c r="R9" i="5"/>
  <c r="U9" i="5" a="1"/>
  <c r="U9" i="5" s="1"/>
  <c r="K9" i="5" a="1"/>
  <c r="K9" i="5" s="1"/>
  <c r="P9" i="5" s="1"/>
  <c r="M9" i="5" a="1"/>
  <c r="M9" i="5" s="1"/>
  <c r="L9" i="5" a="1"/>
  <c r="L9" i="5" s="1"/>
  <c r="AA50" i="5"/>
  <c r="S50" i="5"/>
  <c r="AC50" i="5"/>
  <c r="I17" i="5"/>
  <c r="T14" i="5"/>
  <c r="AD14" i="5" s="1"/>
  <c r="V18" i="5" a="1"/>
  <c r="V18" i="5" s="1"/>
  <c r="W18" i="5" s="1"/>
  <c r="Y18" i="5" s="1"/>
  <c r="Z18" i="5" s="1"/>
  <c r="X18" i="5" a="1"/>
  <c r="X18" i="5" s="1"/>
  <c r="I30" i="5"/>
  <c r="T34" i="5"/>
  <c r="AD34" i="5"/>
  <c r="V58" i="5" a="1"/>
  <c r="V58" i="5" s="1"/>
  <c r="W58" i="5" s="1"/>
  <c r="Y58" i="5" s="1"/>
  <c r="Z58" i="5" s="1"/>
  <c r="X58" i="5" a="1"/>
  <c r="X58" i="5" s="1"/>
  <c r="I55" i="5"/>
  <c r="S69" i="5"/>
  <c r="AA69" i="5"/>
  <c r="AC69" i="5"/>
  <c r="AA52" i="5"/>
  <c r="S52" i="5"/>
  <c r="AC52" i="5"/>
  <c r="T43" i="5"/>
  <c r="AD43" i="5" s="1"/>
  <c r="S78" i="5"/>
  <c r="AA78" i="5"/>
  <c r="AC78" i="5"/>
  <c r="U84" i="5" a="1"/>
  <c r="U84" i="5" s="1"/>
  <c r="M84" i="5" a="1"/>
  <c r="M84" i="5" s="1"/>
  <c r="P84" i="5"/>
  <c r="O84" i="5" a="1"/>
  <c r="O84" i="5" s="1"/>
  <c r="L84" i="5" a="1"/>
  <c r="L84" i="5" s="1"/>
  <c r="K84" i="5" a="1"/>
  <c r="K84" i="5" s="1"/>
  <c r="N84" i="5" a="1"/>
  <c r="N84" i="5" s="1"/>
  <c r="Q84" i="5"/>
  <c r="R84" i="5" s="1"/>
  <c r="AC111" i="5"/>
  <c r="S111" i="5"/>
  <c r="AA111" i="5"/>
  <c r="T115" i="5"/>
  <c r="AD115" i="5"/>
  <c r="T104" i="5"/>
  <c r="AD104" i="5" s="1"/>
  <c r="AC125" i="5"/>
  <c r="AA125" i="5"/>
  <c r="S125" i="5"/>
  <c r="L132" i="5" a="1"/>
  <c r="L132" i="5" s="1"/>
  <c r="Q132" i="5" s="1"/>
  <c r="R132" i="5" s="1"/>
  <c r="M132" i="5" a="1"/>
  <c r="M132" i="5" s="1"/>
  <c r="N132" i="5" a="1"/>
  <c r="N132" i="5" s="1"/>
  <c r="U132" i="5" a="1"/>
  <c r="U132" i="5" s="1"/>
  <c r="K132" i="5" a="1"/>
  <c r="K132" i="5" s="1"/>
  <c r="P132" i="5" s="1"/>
  <c r="O132" i="5" a="1"/>
  <c r="O132" i="5" s="1"/>
  <c r="M126" i="5" a="1"/>
  <c r="M126" i="5" s="1"/>
  <c r="K126" i="5" a="1"/>
  <c r="K126" i="5" s="1"/>
  <c r="P126" i="5" s="1"/>
  <c r="L126" i="5" a="1"/>
  <c r="L126" i="5" s="1"/>
  <c r="Q126" i="5"/>
  <c r="R126" i="5"/>
  <c r="U126" i="5" a="1"/>
  <c r="U126" i="5" s="1"/>
  <c r="N126" i="5" a="1"/>
  <c r="N126" i="5" s="1"/>
  <c r="O126" i="5" a="1"/>
  <c r="O126" i="5" s="1"/>
  <c r="AD121" i="5"/>
  <c r="T121" i="5"/>
  <c r="AA4" i="5"/>
  <c r="AC4" i="5"/>
  <c r="S4" i="5"/>
  <c r="I4" i="5"/>
  <c r="M4" i="5" a="1"/>
  <c r="M4" i="5" s="1"/>
  <c r="L4" i="5" a="1"/>
  <c r="L4" i="5" s="1"/>
  <c r="U4" i="5" a="1"/>
  <c r="U4" i="5" s="1"/>
  <c r="N4" i="5" a="1"/>
  <c r="N4" i="5" s="1"/>
  <c r="K4" i="5" a="1"/>
  <c r="K4" i="5" s="1"/>
  <c r="P4" i="5" s="1"/>
  <c r="O4" i="5" a="1"/>
  <c r="O4" i="5" s="1"/>
  <c r="Q4" i="5"/>
  <c r="R4" i="5" s="1"/>
  <c r="B35" i="6" l="1"/>
  <c r="E33" i="6"/>
  <c r="C35" i="6"/>
  <c r="F33" i="6"/>
  <c r="E35" i="6"/>
  <c r="G33" i="6"/>
  <c r="F35" i="6"/>
  <c r="G35" i="6"/>
  <c r="B32" i="6"/>
  <c r="C32" i="6"/>
  <c r="E32" i="6"/>
  <c r="F32" i="6"/>
  <c r="B34" i="6"/>
  <c r="G32" i="6"/>
  <c r="C34" i="6"/>
  <c r="E34" i="6"/>
  <c r="F34" i="6"/>
  <c r="G34" i="6"/>
  <c r="B33" i="6"/>
  <c r="C33" i="6"/>
  <c r="B31" i="6"/>
  <c r="G31" i="6"/>
  <c r="F31" i="6"/>
  <c r="E31" i="6"/>
  <c r="C31" i="6"/>
  <c r="X129" i="5" a="1"/>
  <c r="X129" i="5" s="1"/>
  <c r="V129" i="5" a="1"/>
  <c r="V129" i="5" s="1"/>
  <c r="W129" i="5" s="1"/>
  <c r="Y129" i="5" s="1"/>
  <c r="Z129" i="5" s="1"/>
  <c r="T51" i="5"/>
  <c r="AD51" i="5" s="1"/>
  <c r="X79" i="5" a="1"/>
  <c r="X79" i="5" s="1"/>
  <c r="V79" i="5" a="1"/>
  <c r="V79" i="5" s="1"/>
  <c r="W79" i="5" s="1"/>
  <c r="Y79" i="5" s="1"/>
  <c r="Z79" i="5" s="1"/>
  <c r="T13" i="5"/>
  <c r="AD13" i="5" s="1"/>
  <c r="V85" i="5" a="1"/>
  <c r="V85" i="5" s="1"/>
  <c r="W85" i="5" s="1"/>
  <c r="Y85" i="5" s="1"/>
  <c r="Z85" i="5" s="1"/>
  <c r="X85" i="5" a="1"/>
  <c r="X85" i="5" s="1"/>
  <c r="T117" i="5"/>
  <c r="AD117" i="5"/>
  <c r="T92" i="5"/>
  <c r="AD92" i="5" s="1"/>
  <c r="AD54" i="5"/>
  <c r="T54" i="5"/>
  <c r="T62" i="5"/>
  <c r="AD62" i="5" s="1"/>
  <c r="T61" i="5"/>
  <c r="AD61" i="5"/>
  <c r="AD42" i="5"/>
  <c r="T42" i="5"/>
  <c r="T123" i="5"/>
  <c r="AD123" i="5"/>
  <c r="T100" i="5"/>
  <c r="AD100" i="5" s="1"/>
  <c r="V66" i="5" a="1"/>
  <c r="V66" i="5" s="1"/>
  <c r="W66" i="5" s="1"/>
  <c r="Y66" i="5" s="1"/>
  <c r="Z66" i="5" s="1"/>
  <c r="X66" i="5" a="1"/>
  <c r="X66" i="5" s="1"/>
  <c r="V131" i="5" a="1"/>
  <c r="V131" i="5" s="1"/>
  <c r="W131" i="5" s="1"/>
  <c r="Y131" i="5" s="1"/>
  <c r="Z131" i="5" s="1"/>
  <c r="X131" i="5" a="1"/>
  <c r="X131" i="5" s="1"/>
  <c r="X97" i="5" a="1"/>
  <c r="X97" i="5" s="1"/>
  <c r="V97" i="5" a="1"/>
  <c r="V97" i="5" s="1"/>
  <c r="W97" i="5" s="1"/>
  <c r="Y97" i="5" s="1"/>
  <c r="Z97" i="5" s="1"/>
  <c r="T69" i="5"/>
  <c r="AD69" i="5"/>
  <c r="T75" i="5"/>
  <c r="AD75" i="5" s="1"/>
  <c r="X62" i="5" a="1"/>
  <c r="X62" i="5" s="1"/>
  <c r="V62" i="5" a="1"/>
  <c r="V62" i="5" s="1"/>
  <c r="W62" i="5" s="1"/>
  <c r="Y62" i="5" s="1"/>
  <c r="Z62" i="5" s="1"/>
  <c r="T65" i="5"/>
  <c r="AD65" i="5"/>
  <c r="V87" i="5" a="1"/>
  <c r="V87" i="5" s="1"/>
  <c r="W87" i="5" s="1"/>
  <c r="Y87" i="5" s="1"/>
  <c r="Z87" i="5" s="1"/>
  <c r="X87" i="5" a="1"/>
  <c r="X87" i="5" s="1"/>
  <c r="T124" i="5"/>
  <c r="AD124" i="5" s="1"/>
  <c r="AD6" i="5"/>
  <c r="T6" i="5"/>
  <c r="T22" i="5"/>
  <c r="AD22" i="5" s="1"/>
  <c r="V133" i="5" a="1"/>
  <c r="V133" i="5" s="1"/>
  <c r="W133" i="5" s="1"/>
  <c r="Y133" i="5" s="1"/>
  <c r="Z133" i="5" s="1"/>
  <c r="X133" i="5" a="1"/>
  <c r="X133" i="5" s="1"/>
  <c r="T24" i="5"/>
  <c r="AD24" i="5" s="1"/>
  <c r="T11" i="5"/>
  <c r="AD11" i="5" s="1"/>
  <c r="AD109" i="5"/>
  <c r="T109" i="5"/>
  <c r="V138" i="5" a="1"/>
  <c r="V138" i="5" s="1"/>
  <c r="W138" i="5" s="1"/>
  <c r="Y138" i="5" s="1"/>
  <c r="Z138" i="5" s="1"/>
  <c r="X138" i="5" a="1"/>
  <c r="X138" i="5" s="1"/>
  <c r="T47" i="5"/>
  <c r="AD47" i="5" s="1"/>
  <c r="X122" i="5" a="1"/>
  <c r="X122" i="5" s="1"/>
  <c r="V122" i="5" a="1"/>
  <c r="V122" i="5" s="1"/>
  <c r="W122" i="5" s="1"/>
  <c r="Y122" i="5" s="1"/>
  <c r="V94" i="5" a="1"/>
  <c r="V94" i="5" s="1"/>
  <c r="W94" i="5" s="1"/>
  <c r="Y94" i="5" s="1"/>
  <c r="Z94" i="5" s="1"/>
  <c r="X94" i="5" a="1"/>
  <c r="X94" i="5" s="1"/>
  <c r="T30" i="5"/>
  <c r="AD30" i="5"/>
  <c r="T110" i="5"/>
  <c r="AD110" i="5"/>
  <c r="T99" i="5"/>
  <c r="AD99" i="5" s="1"/>
  <c r="X33" i="5" a="1"/>
  <c r="X33" i="5" s="1"/>
  <c r="V33" i="5" a="1"/>
  <c r="V33" i="5" s="1"/>
  <c r="W33" i="5" s="1"/>
  <c r="Y33" i="5" s="1"/>
  <c r="Z33" i="5" s="1"/>
  <c r="V11" i="5" a="1"/>
  <c r="V11" i="5" s="1"/>
  <c r="W11" i="5" s="1"/>
  <c r="Y11" i="5" s="1"/>
  <c r="Z11" i="5" s="1"/>
  <c r="X11" i="5" a="1"/>
  <c r="X11" i="5" s="1"/>
  <c r="V114" i="5" a="1"/>
  <c r="V114" i="5" s="1"/>
  <c r="W114" i="5" s="1"/>
  <c r="Y114" i="5" s="1"/>
  <c r="Z114" i="5" s="1"/>
  <c r="X114" i="5" a="1"/>
  <c r="X114" i="5" s="1"/>
  <c r="T102" i="5"/>
  <c r="AD102" i="5" s="1"/>
  <c r="V45" i="5" a="1"/>
  <c r="V45" i="5" s="1"/>
  <c r="W45" i="5" s="1"/>
  <c r="Y45" i="5" s="1"/>
  <c r="Z45" i="5" s="1"/>
  <c r="X45" i="5" a="1"/>
  <c r="X45" i="5" s="1"/>
  <c r="V47" i="5" a="1"/>
  <c r="V47" i="5" s="1"/>
  <c r="W47" i="5" s="1"/>
  <c r="Y47" i="5" s="1"/>
  <c r="Z47" i="5" s="1"/>
  <c r="X47" i="5" a="1"/>
  <c r="X47" i="5" s="1"/>
  <c r="AD23" i="5"/>
  <c r="T23" i="5"/>
  <c r="T57" i="5"/>
  <c r="AD57" i="5" s="1"/>
  <c r="X19" i="5" a="1"/>
  <c r="X19" i="5" s="1"/>
  <c r="V19" i="5" a="1"/>
  <c r="V19" i="5" s="1"/>
  <c r="W19" i="5" s="1"/>
  <c r="Y19" i="5" s="1"/>
  <c r="Z19" i="5" s="1"/>
  <c r="T103" i="5"/>
  <c r="AD103" i="5" s="1"/>
  <c r="T74" i="5"/>
  <c r="AD74" i="5" s="1"/>
  <c r="V54" i="5" a="1"/>
  <c r="V54" i="5" s="1"/>
  <c r="W54" i="5" s="1"/>
  <c r="Y54" i="5" s="1"/>
  <c r="Z54" i="5" s="1"/>
  <c r="X54" i="5" a="1"/>
  <c r="X54" i="5" s="1"/>
  <c r="V99" i="5" a="1"/>
  <c r="V99" i="5" s="1"/>
  <c r="W99" i="5" s="1"/>
  <c r="Y99" i="5" s="1"/>
  <c r="Z99" i="5" s="1"/>
  <c r="X99" i="5" a="1"/>
  <c r="X99" i="5" s="1"/>
  <c r="X51" i="5" a="1"/>
  <c r="X51" i="5" s="1"/>
  <c r="V51" i="5" a="1"/>
  <c r="V51" i="5" s="1"/>
  <c r="W51" i="5" s="1"/>
  <c r="Y51" i="5" s="1"/>
  <c r="Z51" i="5" s="1"/>
  <c r="X22" i="5" a="1"/>
  <c r="X22" i="5" s="1"/>
  <c r="V22" i="5" a="1"/>
  <c r="V22" i="5" s="1"/>
  <c r="W22" i="5" s="1"/>
  <c r="Y22" i="5" s="1"/>
  <c r="Z22" i="5" s="1"/>
  <c r="AD127" i="5"/>
  <c r="T127" i="5"/>
  <c r="X7" i="5" a="1"/>
  <c r="X7" i="5" s="1"/>
  <c r="V7" i="5" a="1"/>
  <c r="V7" i="5" s="1"/>
  <c r="W7" i="5" s="1"/>
  <c r="Y7" i="5" s="1"/>
  <c r="Z7" i="5" s="1"/>
  <c r="T122" i="5"/>
  <c r="AD122" i="5"/>
  <c r="X96" i="5" a="1"/>
  <c r="X96" i="5" s="1"/>
  <c r="V96" i="5" a="1"/>
  <c r="V96" i="5" s="1"/>
  <c r="W96" i="5" s="1"/>
  <c r="Y96" i="5" s="1"/>
  <c r="Z96" i="5" s="1"/>
  <c r="AD94" i="5"/>
  <c r="T94" i="5"/>
  <c r="X30" i="5" a="1"/>
  <c r="X30" i="5" s="1"/>
  <c r="V30" i="5" a="1"/>
  <c r="V30" i="5" s="1"/>
  <c r="W30" i="5" s="1"/>
  <c r="Y30" i="5" s="1"/>
  <c r="Z30" i="5" s="1"/>
  <c r="X132" i="5" a="1"/>
  <c r="X132" i="5" s="1"/>
  <c r="V132" i="5" a="1"/>
  <c r="V132" i="5" s="1"/>
  <c r="W132" i="5" s="1"/>
  <c r="Y132" i="5" s="1"/>
  <c r="Z132" i="5" s="1"/>
  <c r="T84" i="5"/>
  <c r="AD84" i="5" s="1"/>
  <c r="X92" i="5" a="1"/>
  <c r="X92" i="5" s="1"/>
  <c r="V92" i="5" a="1"/>
  <c r="V92" i="5" s="1"/>
  <c r="W92" i="5" s="1"/>
  <c r="Y92" i="5" s="1"/>
  <c r="Z92" i="5" s="1"/>
  <c r="X8" i="5" a="1"/>
  <c r="X8" i="5" s="1"/>
  <c r="V8" i="5" a="1"/>
  <c r="V8" i="5" s="1"/>
  <c r="W8" i="5" s="1"/>
  <c r="Y8" i="5" s="1"/>
  <c r="Z8" i="5" s="1"/>
  <c r="X80" i="5" a="1"/>
  <c r="X80" i="5" s="1"/>
  <c r="V80" i="5" a="1"/>
  <c r="V80" i="5" s="1"/>
  <c r="W80" i="5" s="1"/>
  <c r="Y80" i="5" s="1"/>
  <c r="Z80" i="5" s="1"/>
  <c r="T45" i="5"/>
  <c r="AD45" i="5" s="1"/>
  <c r="AD81" i="5"/>
  <c r="T81" i="5"/>
  <c r="V37" i="5" a="1"/>
  <c r="V37" i="5" s="1"/>
  <c r="W37" i="5" s="1"/>
  <c r="Y37" i="5" s="1"/>
  <c r="Z37" i="5" s="1"/>
  <c r="X37" i="5" a="1"/>
  <c r="X37" i="5" s="1"/>
  <c r="AD93" i="5"/>
  <c r="T93" i="5"/>
  <c r="V57" i="5" a="1"/>
  <c r="V57" i="5" s="1"/>
  <c r="W57" i="5" s="1"/>
  <c r="Y57" i="5" s="1"/>
  <c r="Z57" i="5" s="1"/>
  <c r="X57" i="5" a="1"/>
  <c r="X57" i="5" s="1"/>
  <c r="T88" i="5"/>
  <c r="AD88" i="5" s="1"/>
  <c r="AD78" i="5"/>
  <c r="T78" i="5"/>
  <c r="T19" i="5"/>
  <c r="AD19" i="5"/>
  <c r="V111" i="5" a="1"/>
  <c r="V111" i="5" s="1"/>
  <c r="W111" i="5" s="1"/>
  <c r="Y111" i="5" s="1"/>
  <c r="X111" i="5" a="1"/>
  <c r="X111" i="5" s="1"/>
  <c r="X86" i="5" a="1"/>
  <c r="X86" i="5" s="1"/>
  <c r="V86" i="5" a="1"/>
  <c r="V86" i="5" s="1"/>
  <c r="W86" i="5" s="1"/>
  <c r="Y86" i="5" s="1"/>
  <c r="Z86" i="5" s="1"/>
  <c r="X100" i="5" a="1"/>
  <c r="X100" i="5" s="1"/>
  <c r="V100" i="5" a="1"/>
  <c r="V100" i="5" s="1"/>
  <c r="W100" i="5" s="1"/>
  <c r="Y100" i="5" s="1"/>
  <c r="Z100" i="5" s="1"/>
  <c r="X101" i="5" a="1"/>
  <c r="X101" i="5" s="1"/>
  <c r="V101" i="5" a="1"/>
  <c r="V101" i="5" s="1"/>
  <c r="W101" i="5" s="1"/>
  <c r="Y101" i="5" s="1"/>
  <c r="Z101" i="5" s="1"/>
  <c r="T5" i="5"/>
  <c r="AD5" i="5" s="1"/>
  <c r="V44" i="5" a="1"/>
  <c r="V44" i="5" s="1"/>
  <c r="W44" i="5" s="1"/>
  <c r="Y44" i="5" s="1"/>
  <c r="Z44" i="5" s="1"/>
  <c r="X44" i="5" a="1"/>
  <c r="X44" i="5" s="1"/>
  <c r="X117" i="5" a="1"/>
  <c r="X117" i="5" s="1"/>
  <c r="V117" i="5" a="1"/>
  <c r="V117" i="5" s="1"/>
  <c r="W117" i="5" s="1"/>
  <c r="Y117" i="5" s="1"/>
  <c r="Z117" i="5" s="1"/>
  <c r="T33" i="5"/>
  <c r="AD33" i="5" s="1"/>
  <c r="V136" i="5" a="1"/>
  <c r="V136" i="5" s="1"/>
  <c r="W136" i="5" s="1"/>
  <c r="Y136" i="5" s="1"/>
  <c r="Z136" i="5" s="1"/>
  <c r="X136" i="5" a="1"/>
  <c r="X136" i="5" s="1"/>
  <c r="T76" i="5"/>
  <c r="AD76" i="5"/>
  <c r="V17" i="5" a="1"/>
  <c r="V17" i="5" s="1"/>
  <c r="W17" i="5" s="1"/>
  <c r="Y17" i="5" s="1"/>
  <c r="Z17" i="5" s="1"/>
  <c r="X17" i="5" a="1"/>
  <c r="X17" i="5" s="1"/>
  <c r="T132" i="5"/>
  <c r="AD132" i="5"/>
  <c r="T85" i="5"/>
  <c r="AD85" i="5" s="1"/>
  <c r="T55" i="5"/>
  <c r="AD55" i="5" s="1"/>
  <c r="V61" i="5" a="1"/>
  <c r="V61" i="5" s="1"/>
  <c r="W61" i="5" s="1"/>
  <c r="Y61" i="5" s="1"/>
  <c r="Z61" i="5" s="1"/>
  <c r="X61" i="5" a="1"/>
  <c r="X61" i="5" s="1"/>
  <c r="AD136" i="5"/>
  <c r="T136" i="5"/>
  <c r="X123" i="5" a="1"/>
  <c r="X123" i="5" s="1"/>
  <c r="V123" i="5" a="1"/>
  <c r="V123" i="5" s="1"/>
  <c r="W123" i="5" s="1"/>
  <c r="Y123" i="5" s="1"/>
  <c r="Z123" i="5" s="1"/>
  <c r="X73" i="5" a="1"/>
  <c r="X73" i="5" s="1"/>
  <c r="V73" i="5" a="1"/>
  <c r="V73" i="5" s="1"/>
  <c r="W73" i="5" s="1"/>
  <c r="Y73" i="5" s="1"/>
  <c r="Z73" i="5" s="1"/>
  <c r="AD80" i="5"/>
  <c r="T80" i="5"/>
  <c r="T66" i="5"/>
  <c r="AD66" i="5" s="1"/>
  <c r="X88" i="5" a="1"/>
  <c r="X88" i="5" s="1"/>
  <c r="V88" i="5" a="1"/>
  <c r="V88" i="5" s="1"/>
  <c r="W88" i="5" s="1"/>
  <c r="Y88" i="5" s="1"/>
  <c r="Z88" i="5" s="1"/>
  <c r="X91" i="5" a="1"/>
  <c r="X91" i="5" s="1"/>
  <c r="V91" i="5" a="1"/>
  <c r="V91" i="5" s="1"/>
  <c r="W91" i="5" s="1"/>
  <c r="Y91" i="5" s="1"/>
  <c r="Z91" i="5" s="1"/>
  <c r="AD71" i="5"/>
  <c r="T71" i="5"/>
  <c r="X119" i="5" a="1"/>
  <c r="X119" i="5" s="1"/>
  <c r="V119" i="5" a="1"/>
  <c r="V119" i="5" s="1"/>
  <c r="W119" i="5" s="1"/>
  <c r="Y119" i="5" s="1"/>
  <c r="Z119" i="5" s="1"/>
  <c r="X69" i="5" a="1"/>
  <c r="X69" i="5" s="1"/>
  <c r="V69" i="5" a="1"/>
  <c r="V69" i="5" s="1"/>
  <c r="W69" i="5" s="1"/>
  <c r="Y69" i="5" s="1"/>
  <c r="Z69" i="5" s="1"/>
  <c r="X65" i="5" a="1"/>
  <c r="X65" i="5" s="1"/>
  <c r="V65" i="5" a="1"/>
  <c r="V65" i="5" s="1"/>
  <c r="W65" i="5" s="1"/>
  <c r="Y65" i="5" s="1"/>
  <c r="Z65" i="5" s="1"/>
  <c r="T135" i="5"/>
  <c r="AD135" i="5" s="1"/>
  <c r="T86" i="5"/>
  <c r="AD86" i="5"/>
  <c r="AD39" i="5"/>
  <c r="T39" i="5"/>
  <c r="V70" i="5" a="1"/>
  <c r="V70" i="5" s="1"/>
  <c r="W70" i="5" s="1"/>
  <c r="Y70" i="5" s="1"/>
  <c r="Z70" i="5" s="1"/>
  <c r="X70" i="5" a="1"/>
  <c r="X70" i="5" s="1"/>
  <c r="T20" i="5"/>
  <c r="AD20" i="5" s="1"/>
  <c r="AD37" i="5"/>
  <c r="T37" i="5"/>
  <c r="V21" i="5" a="1"/>
  <c r="V21" i="5" s="1"/>
  <c r="W21" i="5" s="1"/>
  <c r="Y21" i="5" s="1"/>
  <c r="Z21" i="5" s="1"/>
  <c r="X21" i="5" a="1"/>
  <c r="X21" i="5" s="1"/>
  <c r="T96" i="5"/>
  <c r="AD96" i="5" s="1"/>
  <c r="X76" i="5" a="1"/>
  <c r="X76" i="5" s="1"/>
  <c r="V76" i="5" a="1"/>
  <c r="V76" i="5" s="1"/>
  <c r="W76" i="5" s="1"/>
  <c r="Y76" i="5" s="1"/>
  <c r="Z76" i="5" s="1"/>
  <c r="X31" i="5" a="1"/>
  <c r="X31" i="5" s="1"/>
  <c r="V31" i="5" a="1"/>
  <c r="V31" i="5" s="1"/>
  <c r="W31" i="5" s="1"/>
  <c r="Y31" i="5" s="1"/>
  <c r="Z31" i="5" s="1"/>
  <c r="AD7" i="5"/>
  <c r="T7" i="5"/>
  <c r="T114" i="5"/>
  <c r="AD114" i="5" s="1"/>
  <c r="V60" i="5" a="1"/>
  <c r="V60" i="5" s="1"/>
  <c r="W60" i="5" s="1"/>
  <c r="Y60" i="5" s="1"/>
  <c r="Z60" i="5" s="1"/>
  <c r="X60" i="5" a="1"/>
  <c r="X60" i="5" s="1"/>
  <c r="X36" i="5" a="1"/>
  <c r="X36" i="5" s="1"/>
  <c r="V36" i="5" a="1"/>
  <c r="V36" i="5" s="1"/>
  <c r="W36" i="5" s="1"/>
  <c r="Y36" i="5" s="1"/>
  <c r="Z36" i="5" s="1"/>
  <c r="T138" i="5"/>
  <c r="AD138" i="5"/>
  <c r="X130" i="5" a="1"/>
  <c r="X130" i="5" s="1"/>
  <c r="V130" i="5" a="1"/>
  <c r="V130" i="5" s="1"/>
  <c r="W130" i="5" s="1"/>
  <c r="Y130" i="5" s="1"/>
  <c r="Z130" i="5" s="1"/>
  <c r="AD112" i="5"/>
  <c r="T112" i="5"/>
  <c r="T120" i="5"/>
  <c r="AD120" i="5"/>
  <c r="V134" i="5" a="1"/>
  <c r="V134" i="5" s="1"/>
  <c r="W134" i="5" s="1"/>
  <c r="Y134" i="5" s="1"/>
  <c r="Z134" i="5" s="1"/>
  <c r="X134" i="5" a="1"/>
  <c r="X134" i="5" s="1"/>
  <c r="X71" i="5" a="1"/>
  <c r="X71" i="5" s="1"/>
  <c r="V71" i="5" a="1"/>
  <c r="V71" i="5" s="1"/>
  <c r="W71" i="5" s="1"/>
  <c r="Y71" i="5" s="1"/>
  <c r="Z71" i="5" s="1"/>
  <c r="V83" i="5" a="1"/>
  <c r="V83" i="5" s="1"/>
  <c r="W83" i="5" s="1"/>
  <c r="Y83" i="5" s="1"/>
  <c r="Z83" i="5" s="1"/>
  <c r="X83" i="5" a="1"/>
  <c r="X83" i="5" s="1"/>
  <c r="X126" i="5" a="1"/>
  <c r="X126" i="5" s="1"/>
  <c r="V126" i="5" a="1"/>
  <c r="V126" i="5" s="1"/>
  <c r="W126" i="5" s="1"/>
  <c r="Y126" i="5" s="1"/>
  <c r="Z126" i="5" s="1"/>
  <c r="T129" i="5"/>
  <c r="AD129" i="5" s="1"/>
  <c r="X98" i="5" a="1"/>
  <c r="X98" i="5" s="1"/>
  <c r="V98" i="5" a="1"/>
  <c r="V98" i="5" s="1"/>
  <c r="W98" i="5" s="1"/>
  <c r="Y98" i="5" s="1"/>
  <c r="Z98" i="5" s="1"/>
  <c r="V24" i="5" a="1"/>
  <c r="V24" i="5" s="1"/>
  <c r="W24" i="5" s="1"/>
  <c r="Y24" i="5" s="1"/>
  <c r="Z24" i="5" s="1"/>
  <c r="X24" i="5" a="1"/>
  <c r="X24" i="5" s="1"/>
  <c r="T8" i="5"/>
  <c r="AD8" i="5" s="1"/>
  <c r="T140" i="5"/>
  <c r="AD140" i="5" s="1"/>
  <c r="X105" i="5" a="1"/>
  <c r="X105" i="5" s="1"/>
  <c r="V105" i="5" a="1"/>
  <c r="V105" i="5" s="1"/>
  <c r="W105" i="5" s="1"/>
  <c r="Y105" i="5" s="1"/>
  <c r="Z105" i="5" s="1"/>
  <c r="T67" i="5"/>
  <c r="AD67" i="5" s="1"/>
  <c r="X90" i="5" a="1"/>
  <c r="X90" i="5" s="1"/>
  <c r="V90" i="5" a="1"/>
  <c r="V90" i="5" s="1"/>
  <c r="W90" i="5" s="1"/>
  <c r="Y90" i="5" s="1"/>
  <c r="Z90" i="5" s="1"/>
  <c r="T101" i="5"/>
  <c r="AD101" i="5" s="1"/>
  <c r="T108" i="5"/>
  <c r="AD108" i="5" s="1"/>
  <c r="T56" i="5"/>
  <c r="AD56" i="5"/>
  <c r="V20" i="5" a="1"/>
  <c r="V20" i="5" s="1"/>
  <c r="W20" i="5" s="1"/>
  <c r="Y20" i="5" s="1"/>
  <c r="Z20" i="5" s="1"/>
  <c r="X20" i="5" a="1"/>
  <c r="X20" i="5" s="1"/>
  <c r="T21" i="5"/>
  <c r="AD21" i="5" s="1"/>
  <c r="X120" i="5" a="1"/>
  <c r="X120" i="5" s="1"/>
  <c r="V120" i="5" a="1"/>
  <c r="V120" i="5" s="1"/>
  <c r="W120" i="5" s="1"/>
  <c r="Y120" i="5" s="1"/>
  <c r="Z120" i="5" s="1"/>
  <c r="AD91" i="5"/>
  <c r="T91" i="5"/>
  <c r="V5" i="5" a="1"/>
  <c r="V5" i="5" s="1"/>
  <c r="W5" i="5" s="1"/>
  <c r="Y5" i="5" s="1"/>
  <c r="Z5" i="5" s="1"/>
  <c r="X5" i="5" a="1"/>
  <c r="X5" i="5" s="1"/>
  <c r="X55" i="5" a="1"/>
  <c r="X55" i="5" s="1"/>
  <c r="V55" i="5" a="1"/>
  <c r="V55" i="5" s="1"/>
  <c r="W55" i="5" s="1"/>
  <c r="Y55" i="5" s="1"/>
  <c r="Z55" i="5" s="1"/>
  <c r="Z104" i="5"/>
  <c r="T133" i="5"/>
  <c r="AD133" i="5"/>
  <c r="V140" i="5" a="1"/>
  <c r="V140" i="5" s="1"/>
  <c r="W140" i="5" s="1"/>
  <c r="Y140" i="5" s="1"/>
  <c r="Z140" i="5" s="1"/>
  <c r="X140" i="5" a="1"/>
  <c r="X140" i="5" s="1"/>
  <c r="V67" i="5" a="1"/>
  <c r="V67" i="5" s="1"/>
  <c r="W67" i="5" s="1"/>
  <c r="Y67" i="5" s="1"/>
  <c r="Z67" i="5" s="1"/>
  <c r="X67" i="5" a="1"/>
  <c r="X67" i="5" s="1"/>
  <c r="X102" i="5" a="1"/>
  <c r="X102" i="5" s="1"/>
  <c r="V102" i="5" a="1"/>
  <c r="V102" i="5" s="1"/>
  <c r="W102" i="5" s="1"/>
  <c r="Y102" i="5" s="1"/>
  <c r="Z102" i="5" s="1"/>
  <c r="X108" i="5" a="1"/>
  <c r="X108" i="5" s="1"/>
  <c r="V108" i="5" a="1"/>
  <c r="V108" i="5" s="1"/>
  <c r="W108" i="5" s="1"/>
  <c r="Y108" i="5" s="1"/>
  <c r="Z108" i="5" s="1"/>
  <c r="T60" i="5"/>
  <c r="AD60" i="5" s="1"/>
  <c r="AD48" i="5"/>
  <c r="T48" i="5"/>
  <c r="AD139" i="5"/>
  <c r="T139" i="5"/>
  <c r="X72" i="5" a="1"/>
  <c r="X72" i="5" s="1"/>
  <c r="V72" i="5" a="1"/>
  <c r="V72" i="5" s="1"/>
  <c r="W72" i="5" s="1"/>
  <c r="Y72" i="5" s="1"/>
  <c r="Z72" i="5" s="1"/>
  <c r="AD35" i="5"/>
  <c r="T35" i="5"/>
  <c r="X110" i="5" a="1"/>
  <c r="X110" i="5" s="1"/>
  <c r="V110" i="5" a="1"/>
  <c r="V110" i="5" s="1"/>
  <c r="W110" i="5" s="1"/>
  <c r="Y110" i="5" s="1"/>
  <c r="Z110" i="5" s="1"/>
  <c r="AD126" i="5"/>
  <c r="T126" i="5"/>
  <c r="X29" i="5" a="1"/>
  <c r="X29" i="5" s="1"/>
  <c r="V29" i="5" a="1"/>
  <c r="V29" i="5" s="1"/>
  <c r="W29" i="5" s="1"/>
  <c r="Y29" i="5" s="1"/>
  <c r="Z29" i="5" s="1"/>
  <c r="V75" i="5" a="1"/>
  <c r="V75" i="5" s="1"/>
  <c r="W75" i="5" s="1"/>
  <c r="Y75" i="5" s="1"/>
  <c r="X75" i="5" a="1"/>
  <c r="X75" i="5" s="1"/>
  <c r="AD113" i="5"/>
  <c r="T113" i="5"/>
  <c r="V116" i="5" a="1"/>
  <c r="V116" i="5" s="1"/>
  <c r="W116" i="5" s="1"/>
  <c r="Y116" i="5" s="1"/>
  <c r="Z116" i="5" s="1"/>
  <c r="X116" i="5" a="1"/>
  <c r="X116" i="5" s="1"/>
  <c r="AD46" i="5"/>
  <c r="T46" i="5"/>
  <c r="T90" i="5"/>
  <c r="AD90" i="5" s="1"/>
  <c r="AD36" i="5"/>
  <c r="T36" i="5"/>
  <c r="T130" i="5"/>
  <c r="AD130" i="5" s="1"/>
  <c r="V112" i="5" a="1"/>
  <c r="V112" i="5" s="1"/>
  <c r="W112" i="5" s="1"/>
  <c r="Y112" i="5" s="1"/>
  <c r="X112" i="5" a="1"/>
  <c r="X112" i="5" s="1"/>
  <c r="V48" i="5" a="1"/>
  <c r="V48" i="5" s="1"/>
  <c r="W48" i="5" s="1"/>
  <c r="Y48" i="5" s="1"/>
  <c r="Z48" i="5" s="1"/>
  <c r="X48" i="5" a="1"/>
  <c r="X48" i="5" s="1"/>
  <c r="V139" i="5" a="1"/>
  <c r="V139" i="5" s="1"/>
  <c r="W139" i="5" s="1"/>
  <c r="Y139" i="5" s="1"/>
  <c r="Z139" i="5" s="1"/>
  <c r="X139" i="5" a="1"/>
  <c r="X139" i="5" s="1"/>
  <c r="X39" i="5" a="1"/>
  <c r="X39" i="5" s="1"/>
  <c r="V39" i="5" a="1"/>
  <c r="V39" i="5" s="1"/>
  <c r="W39" i="5" s="1"/>
  <c r="Y39" i="5" s="1"/>
  <c r="Z39" i="5" s="1"/>
  <c r="T73" i="5"/>
  <c r="AD73" i="5" s="1"/>
  <c r="V6" i="5" a="1"/>
  <c r="V6" i="5" s="1"/>
  <c r="W6" i="5" s="1"/>
  <c r="Y6" i="5" s="1"/>
  <c r="Z6" i="5" s="1"/>
  <c r="X6" i="5" a="1"/>
  <c r="X6" i="5" s="1"/>
  <c r="V27" i="5" a="1"/>
  <c r="V27" i="5" s="1"/>
  <c r="W27" i="5" s="1"/>
  <c r="Y27" i="5" s="1"/>
  <c r="Z27" i="5" s="1"/>
  <c r="X27" i="5" a="1"/>
  <c r="X27" i="5" s="1"/>
  <c r="AD116" i="5"/>
  <c r="T116" i="5"/>
  <c r="T98" i="5"/>
  <c r="AD98" i="5" s="1"/>
  <c r="X89" i="5" a="1"/>
  <c r="X89" i="5" s="1"/>
  <c r="V89" i="5" a="1"/>
  <c r="V89" i="5" s="1"/>
  <c r="W89" i="5" s="1"/>
  <c r="Y89" i="5" s="1"/>
  <c r="Z89" i="5" s="1"/>
  <c r="X137" i="5" a="1"/>
  <c r="X137" i="5" s="1"/>
  <c r="V137" i="5" a="1"/>
  <c r="V137" i="5" s="1"/>
  <c r="W137" i="5" s="1"/>
  <c r="Y137" i="5" s="1"/>
  <c r="Z137" i="5" s="1"/>
  <c r="T38" i="5"/>
  <c r="AD38" i="5" s="1"/>
  <c r="V93" i="5" a="1"/>
  <c r="V93" i="5" s="1"/>
  <c r="W93" i="5" s="1"/>
  <c r="Y93" i="5" s="1"/>
  <c r="Z93" i="5" s="1"/>
  <c r="X93" i="5" a="1"/>
  <c r="X93" i="5" s="1"/>
  <c r="AD72" i="5"/>
  <c r="T72" i="5"/>
  <c r="X35" i="5" a="1"/>
  <c r="X35" i="5" s="1"/>
  <c r="V35" i="5" a="1"/>
  <c r="V35" i="5" s="1"/>
  <c r="W35" i="5" s="1"/>
  <c r="Y35" i="5" s="1"/>
  <c r="Z35" i="5" s="1"/>
  <c r="V13" i="5" a="1"/>
  <c r="V13" i="5" s="1"/>
  <c r="W13" i="5" s="1"/>
  <c r="Y13" i="5" s="1"/>
  <c r="Z13" i="5" s="1"/>
  <c r="X13" i="5" a="1"/>
  <c r="X13" i="5" s="1"/>
  <c r="X135" i="5" a="1"/>
  <c r="X135" i="5" s="1"/>
  <c r="V135" i="5" a="1"/>
  <c r="V135" i="5" s="1"/>
  <c r="W135" i="5" s="1"/>
  <c r="Y135" i="5" s="1"/>
  <c r="Z135" i="5" s="1"/>
  <c r="T9" i="5"/>
  <c r="AD9" i="5" s="1"/>
  <c r="T97" i="5"/>
  <c r="AD97" i="5"/>
  <c r="V42" i="5" a="1"/>
  <c r="V42" i="5" s="1"/>
  <c r="W42" i="5" s="1"/>
  <c r="Y42" i="5" s="1"/>
  <c r="Z42" i="5" s="1"/>
  <c r="X42" i="5" a="1"/>
  <c r="X42" i="5" s="1"/>
  <c r="X127" i="5" a="1"/>
  <c r="X127" i="5" s="1"/>
  <c r="V127" i="5" a="1"/>
  <c r="V127" i="5" s="1"/>
  <c r="W127" i="5" s="1"/>
  <c r="Y127" i="5" s="1"/>
  <c r="Z127" i="5" s="1"/>
  <c r="V56" i="5" a="1"/>
  <c r="V56" i="5" s="1"/>
  <c r="W56" i="5" s="1"/>
  <c r="Y56" i="5" s="1"/>
  <c r="Z56" i="5" s="1"/>
  <c r="X56" i="5" a="1"/>
  <c r="X56" i="5" s="1"/>
  <c r="V107" i="5" a="1"/>
  <c r="V107" i="5" s="1"/>
  <c r="W107" i="5" s="1"/>
  <c r="Y107" i="5" s="1"/>
  <c r="Z107" i="5" s="1"/>
  <c r="X107" i="5" a="1"/>
  <c r="X107" i="5" s="1"/>
  <c r="V103" i="5" a="1"/>
  <c r="V103" i="5" s="1"/>
  <c r="W103" i="5" s="1"/>
  <c r="Y103" i="5" s="1"/>
  <c r="Z103" i="5" s="1"/>
  <c r="X103" i="5" a="1"/>
  <c r="X103" i="5" s="1"/>
  <c r="V128" i="5" a="1"/>
  <c r="V128" i="5" s="1"/>
  <c r="W128" i="5" s="1"/>
  <c r="Y128" i="5" s="1"/>
  <c r="Z128" i="5" s="1"/>
  <c r="X128" i="5" a="1"/>
  <c r="X128" i="5" s="1"/>
  <c r="X113" i="5" a="1"/>
  <c r="X113" i="5" s="1"/>
  <c r="V113" i="5" a="1"/>
  <c r="V113" i="5" s="1"/>
  <c r="W113" i="5" s="1"/>
  <c r="Y113" i="5" s="1"/>
  <c r="Z113" i="5" s="1"/>
  <c r="T119" i="5"/>
  <c r="AD119" i="5"/>
  <c r="T70" i="5"/>
  <c r="AD70" i="5" s="1"/>
  <c r="T105" i="5"/>
  <c r="AD105" i="5" s="1"/>
  <c r="V124" i="5" a="1"/>
  <c r="V124" i="5" s="1"/>
  <c r="W124" i="5" s="1"/>
  <c r="Y124" i="5" s="1"/>
  <c r="Z124" i="5" s="1"/>
  <c r="X124" i="5" a="1"/>
  <c r="X124" i="5" s="1"/>
  <c r="T137" i="5"/>
  <c r="AD137" i="5" s="1"/>
  <c r="T107" i="5"/>
  <c r="AD107" i="5" s="1"/>
  <c r="V38" i="5" a="1"/>
  <c r="V38" i="5" s="1"/>
  <c r="W38" i="5" s="1"/>
  <c r="Y38" i="5" s="1"/>
  <c r="Z38" i="5" s="1"/>
  <c r="X38" i="5" a="1"/>
  <c r="X38" i="5" s="1"/>
  <c r="X23" i="5" a="1"/>
  <c r="X23" i="5" s="1"/>
  <c r="V23" i="5" a="1"/>
  <c r="V23" i="5" s="1"/>
  <c r="W23" i="5" s="1"/>
  <c r="Y23" i="5" s="1"/>
  <c r="Z23" i="5" s="1"/>
  <c r="T134" i="5"/>
  <c r="AD134" i="5" s="1"/>
  <c r="AD131" i="5"/>
  <c r="T131" i="5"/>
  <c r="V9" i="5" a="1"/>
  <c r="V9" i="5" s="1"/>
  <c r="W9" i="5" s="1"/>
  <c r="Y9" i="5" s="1"/>
  <c r="Z9" i="5" s="1"/>
  <c r="X9" i="5" a="1"/>
  <c r="X9" i="5" s="1"/>
  <c r="T79" i="5"/>
  <c r="AD79" i="5"/>
  <c r="T128" i="5"/>
  <c r="AD128" i="5"/>
  <c r="AD111" i="5"/>
  <c r="T111" i="5"/>
  <c r="T44" i="5"/>
  <c r="AD44" i="5" s="1"/>
  <c r="X84" i="5" a="1"/>
  <c r="X84" i="5" s="1"/>
  <c r="V84" i="5" a="1"/>
  <c r="V84" i="5" s="1"/>
  <c r="W84" i="5" s="1"/>
  <c r="Y84" i="5" s="1"/>
  <c r="Z84" i="5" s="1"/>
  <c r="T17" i="5"/>
  <c r="AD17" i="5"/>
  <c r="V46" i="5" a="1"/>
  <c r="V46" i="5" s="1"/>
  <c r="W46" i="5" s="1"/>
  <c r="Y46" i="5" s="1"/>
  <c r="Z46" i="5" s="1"/>
  <c r="X46" i="5" a="1"/>
  <c r="X46" i="5" s="1"/>
  <c r="T29" i="5"/>
  <c r="AD29" i="5" s="1"/>
  <c r="T27" i="5"/>
  <c r="AD27" i="5" s="1"/>
  <c r="T87" i="5"/>
  <c r="AD87" i="5"/>
  <c r="T31" i="5"/>
  <c r="AD31" i="5" s="1"/>
  <c r="V109" i="5" a="1"/>
  <c r="V109" i="5" s="1"/>
  <c r="W109" i="5" s="1"/>
  <c r="Y109" i="5" s="1"/>
  <c r="Z109" i="5" s="1"/>
  <c r="X109" i="5" a="1"/>
  <c r="X109" i="5" s="1"/>
  <c r="T89" i="5"/>
  <c r="AD89" i="5"/>
  <c r="V81" i="5" a="1"/>
  <c r="V81" i="5" s="1"/>
  <c r="W81" i="5" s="1"/>
  <c r="Y81" i="5" s="1"/>
  <c r="Z81" i="5" s="1"/>
  <c r="X81" i="5" a="1"/>
  <c r="X81" i="5" s="1"/>
  <c r="V78" i="5" a="1"/>
  <c r="V78" i="5" s="1"/>
  <c r="W78" i="5" s="1"/>
  <c r="Y78" i="5" s="1"/>
  <c r="Z78" i="5" s="1"/>
  <c r="X78" i="5" a="1"/>
  <c r="X78" i="5" s="1"/>
  <c r="X74" i="5" a="1"/>
  <c r="X74" i="5" s="1"/>
  <c r="V74" i="5" a="1"/>
  <c r="V74" i="5" s="1"/>
  <c r="W74" i="5" s="1"/>
  <c r="Y74" i="5" s="1"/>
  <c r="Z74" i="5" s="1"/>
  <c r="AD83" i="5"/>
  <c r="T83" i="5"/>
  <c r="V4" i="5" a="1"/>
  <c r="V4" i="5" s="1"/>
  <c r="W4" i="5" s="1"/>
  <c r="Y4" i="5" s="1"/>
  <c r="Z4" i="5" s="1"/>
  <c r="X4" i="5" a="1"/>
  <c r="X4" i="5" s="1"/>
  <c r="T4" i="5"/>
  <c r="AD4" i="5" s="1"/>
  <c r="D32" i="6" l="1"/>
  <c r="D33" i="6"/>
  <c r="D34" i="6"/>
  <c r="H34" i="6"/>
  <c r="I34" i="6"/>
  <c r="D31" i="6"/>
  <c r="H32" i="6"/>
  <c r="I32" i="6"/>
  <c r="H31" i="6"/>
  <c r="I31" i="6"/>
  <c r="H33" i="6"/>
  <c r="I33" i="6"/>
  <c r="D35" i="6"/>
  <c r="H35" i="6"/>
  <c r="I35" i="6"/>
  <c r="Z122" i="5"/>
  <c r="Z111" i="5"/>
  <c r="Z75" i="5"/>
  <c r="Z11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<sst xmlns="http://schemas.openxmlformats.org/spreadsheetml/2006/main" count="1125" uniqueCount="230">
  <si>
    <t>Estrategia</t>
  </si>
  <si>
    <t>Expo. acciones</t>
  </si>
  <si>
    <t>Ret. total</t>
  </si>
  <si>
    <t>CAGR</t>
  </si>
  <si>
    <t>Volatilidad</t>
  </si>
  <si>
    <t>Sharpe</t>
  </si>
  <si>
    <t>Sortino</t>
  </si>
  <si>
    <t>Max Drawdown</t>
  </si>
  <si>
    <t>Calmar</t>
  </si>
  <si>
    <t>SPY (Buy &amp; Hold)</t>
  </si>
  <si>
    <t>100%</t>
  </si>
  <si>
    <t>366.5%</t>
  </si>
  <si>
    <t xml:space="preserve"> 15.6%</t>
  </si>
  <si>
    <t xml:space="preserve"> 17.7%</t>
  </si>
  <si>
    <t xml:space="preserve"> 0.91</t>
  </si>
  <si>
    <t xml:space="preserve"> 1.10</t>
  </si>
  <si>
    <t>-33.7%</t>
  </si>
  <si>
    <t xml:space="preserve"> 0.46</t>
  </si>
  <si>
    <t>Estrategia completa</t>
  </si>
  <si>
    <t>67%</t>
  </si>
  <si>
    <t xml:space="preserve"> 17.9%</t>
  </si>
  <si>
    <t xml:space="preserve">  1.6%</t>
  </si>
  <si>
    <t xml:space="preserve"> 10.8%</t>
  </si>
  <si>
    <t xml:space="preserve"> 0.20</t>
  </si>
  <si>
    <t xml:space="preserve"> 0.23</t>
  </si>
  <si>
    <t>-18.1%</t>
  </si>
  <si>
    <t xml:space="preserve"> 0.09</t>
  </si>
  <si>
    <t>Top 3 sin filtro (siempre invertido)</t>
  </si>
  <si>
    <t>116.4%</t>
  </si>
  <si>
    <t xml:space="preserve">  7.5%</t>
  </si>
  <si>
    <t xml:space="preserve"> 16.9%</t>
  </si>
  <si>
    <t xml:space="preserve"> 0.52</t>
  </si>
  <si>
    <t xml:space="preserve"> 0.62</t>
  </si>
  <si>
    <t>-32.2%</t>
  </si>
  <si>
    <t>Exposicion similar dinamica (en SPY)</t>
  </si>
  <si>
    <t xml:space="preserve"> 76.4%</t>
  </si>
  <si>
    <t xml:space="preserve">  5.5%</t>
  </si>
  <si>
    <t xml:space="preserve"> 10.1%</t>
  </si>
  <si>
    <t xml:space="preserve"> 0.58</t>
  </si>
  <si>
    <t xml:space="preserve"> 0.66</t>
  </si>
  <si>
    <t>-25.8%</t>
  </si>
  <si>
    <t xml:space="preserve"> 0.21</t>
  </si>
  <si>
    <t>Exposicion estatica 67% SPY / 33% BIL</t>
  </si>
  <si>
    <t>212.5%</t>
  </si>
  <si>
    <t xml:space="preserve"> 11.3%</t>
  </si>
  <si>
    <t xml:space="preserve"> 1.01</t>
  </si>
  <si>
    <t xml:space="preserve"> 1.21</t>
  </si>
  <si>
    <t>-22.3%</t>
  </si>
  <si>
    <t xml:space="preserve"> 0.51</t>
  </si>
  <si>
    <t>Motivo</t>
  </si>
  <si>
    <t>Cantidad</t>
  </si>
  <si>
    <t>--- ENTRADAS ---</t>
  </si>
  <si>
    <t>ruptura techo Donchian +0.3% &amp; Top 3</t>
  </si>
  <si>
    <t>--- SALIDAS ---</t>
  </si>
  <si>
    <t>ruptura piso Donchian</t>
  </si>
  <si>
    <t>cae del ranking (&gt;#5)</t>
  </si>
  <si>
    <t>ruptura piso Donchian + cae del ranking (&gt;#5)</t>
  </si>
  <si>
    <t>Fecha</t>
  </si>
  <si>
    <t>Activo</t>
  </si>
  <si>
    <t>Accion</t>
  </si>
  <si>
    <t>Rank</t>
  </si>
  <si>
    <t>Momentum_12m</t>
  </si>
  <si>
    <t>Cierre</t>
  </si>
  <si>
    <t>Donchian_ref</t>
  </si>
  <si>
    <t>XLU</t>
  </si>
  <si>
    <t>ENTRA</t>
  </si>
  <si>
    <t>XLP</t>
  </si>
  <si>
    <t>XLY</t>
  </si>
  <si>
    <t>SALE</t>
  </si>
  <si>
    <t>XLK</t>
  </si>
  <si>
    <t>XLB</t>
  </si>
  <si>
    <t>XLI</t>
  </si>
  <si>
    <t>XLF</t>
  </si>
  <si>
    <t>XLE</t>
  </si>
  <si>
    <t>XLV</t>
  </si>
  <si>
    <t>XLRE</t>
  </si>
  <si>
    <t>XLC</t>
  </si>
  <si>
    <t>Parámetros del análisis</t>
  </si>
  <si>
    <t>Parámetro</t>
  </si>
  <si>
    <t>Valor</t>
  </si>
  <si>
    <t>Comentario</t>
  </si>
  <si>
    <t>Ventana whipsaw (días corridos)</t>
  </si>
  <si>
    <t>Salida seguida de reentrada del mismo activo dentro de esta ventana</t>
  </si>
  <si>
    <t>Margen de entrada sobre techo Donchian</t>
  </si>
  <si>
    <t>El que usa la estrategia para entrar (+0,3%)</t>
  </si>
  <si>
    <t>Margen propuesto para piso Donchian</t>
  </si>
  <si>
    <t>Margen igual al de la entrada; se usa en Sensibilidad Donchian</t>
  </si>
  <si>
    <t>Umbral momentum absoluto (filtro 1)</t>
  </si>
  <si>
    <t>Solo entrar si Momentum 12m &gt; este valor</t>
  </si>
  <si>
    <t>Tasa BIL / T-Bill 3m por año (filtro 2)</t>
  </si>
  <si>
    <t>Año</t>
  </si>
  <si>
    <t>Tasa anual aprox.</t>
  </si>
  <si>
    <t>Tramos de momentum 12m</t>
  </si>
  <si>
    <t>Desde</t>
  </si>
  <si>
    <t>Tramo</t>
  </si>
  <si>
    <t>0% a 5%</t>
  </si>
  <si>
    <t>5% a 15%</t>
  </si>
  <si>
    <t>15% a 30%</t>
  </si>
  <si>
    <t>Límite inferior de cada tramo (búsqueda aproximada)</t>
  </si>
  <si>
    <t>Tabla de trades (cada entrada con su salida)</t>
  </si>
  <si>
    <t>Retorno = cierre de salida / cierre de entrada − 1 (precios de la señal). Días = días corridos. Costo whipsaw &gt; 0 = recompró más caro de lo que vendió.</t>
  </si>
  <si>
    <t>#</t>
  </si>
  <si>
    <t>Fila entrada</t>
  </si>
  <si>
    <t>Fecha entrada</t>
  </si>
  <si>
    <t>Rank entrada</t>
  </si>
  <si>
    <t>Momentum 12m entrada</t>
  </si>
  <si>
    <t>Cierre entrada</t>
  </si>
  <si>
    <t>Techo Donchian</t>
  </si>
  <si>
    <t>Margen s/ techo</t>
  </si>
  <si>
    <t>Fila salida</t>
  </si>
  <si>
    <t>Fecha salida</t>
  </si>
  <si>
    <t>Cierre salida</t>
  </si>
  <si>
    <t>Ref. Donchian salida</t>
  </si>
  <si>
    <t>Motivo salida</t>
  </si>
  <si>
    <t>Rank salida</t>
  </si>
  <si>
    <t>Días</t>
  </si>
  <si>
    <t>Retorno</t>
  </si>
  <si>
    <t>Resultado</t>
  </si>
  <si>
    <t>Tramo momentum</t>
  </si>
  <si>
    <t>Dist. al piso en salida</t>
  </si>
  <si>
    <t>Fila reentrada</t>
  </si>
  <si>
    <t>Fecha reentrada</t>
  </si>
  <si>
    <t>Días hasta reentrada</t>
  </si>
  <si>
    <t>Cierre reentrada</t>
  </si>
  <si>
    <t>Whipsaw</t>
  </si>
  <si>
    <t>Costo whipsaw</t>
  </si>
  <si>
    <t>Pasa filtro mom. &gt; umbral</t>
  </si>
  <si>
    <t>Tasa BIL del año</t>
  </si>
  <si>
    <t>Pasa filtro mom. &gt; BIL</t>
  </si>
  <si>
    <t>Salida evitable con margen piso</t>
  </si>
  <si>
    <t>Estadísticas de trades cerrados</t>
  </si>
  <si>
    <t>Solo trades cerrados (excluye el abierto). Retorno acumulado = suma simple de retornos por trade.</t>
  </si>
  <si>
    <t>Total</t>
  </si>
  <si>
    <t>Trades</t>
  </si>
  <si>
    <t>Ganadores</t>
  </si>
  <si>
    <t>% Ganadores</t>
  </si>
  <si>
    <t>Retorno promedio</t>
  </si>
  <si>
    <t>Retorno acumulado</t>
  </si>
  <si>
    <t>Días promedio</t>
  </si>
  <si>
    <t>Mejor trade</t>
  </si>
  <si>
    <t>Peor trade</t>
  </si>
  <si>
    <t>Todos</t>
  </si>
  <si>
    <t>Por activo</t>
  </si>
  <si>
    <t>Por rank de entrada</t>
  </si>
  <si>
    <t>Por motivo de salida</t>
  </si>
  <si>
    <t>Por tramo de momentum 12m</t>
  </si>
  <si>
    <t>Negativo</t>
  </si>
  <si>
    <t>Más de 30%</t>
  </si>
  <si>
    <t>Whipsaws: salida seguida de reentrada del mismo activo dentro de la ventana</t>
  </si>
  <si>
    <t>Costo = cierre de reentrada / cierre de salida − 1. Positivo = se recompró más caro de lo que se vendió (costo); negativo = se recompró más barato.</t>
  </si>
  <si>
    <t>Resumen</t>
  </si>
  <si>
    <t>Ventana (días)</t>
  </si>
  <si>
    <t>Cantidad de whipsaws</t>
  </si>
  <si>
    <t>% de las salidas cerradas</t>
  </si>
  <si>
    <t>Costo promedio por whipsaw</t>
  </si>
  <si>
    <t>Costo acumulado (suma)</t>
  </si>
  <si>
    <t>Whipsaws con costo (recompra más cara)</t>
  </si>
  <si>
    <t>Whipsaws</t>
  </si>
  <si>
    <t>Costo promedio</t>
  </si>
  <si>
    <t>Costo acumulado</t>
  </si>
  <si>
    <t># Trade</t>
  </si>
  <si>
    <t>Retorno del trade</t>
  </si>
  <si>
    <t>Efecto de un filtro de momentum absoluto</t>
  </si>
  <si>
    <t>Estático: muestra qué trades se habrían evitado. No simula qué se habría comprado con ese cupo libre (requiere precios diarios).</t>
  </si>
  <si>
    <t>Métrica</t>
  </si>
  <si>
    <t>Sin filtro</t>
  </si>
  <si>
    <t>Filtro 1: mom. &gt; umbral</t>
  </si>
  <si>
    <t>Filtro 2: mom. &gt; tasa BIL</t>
  </si>
  <si>
    <t>Umbral</t>
  </si>
  <si>
    <t>Trades cerrados</t>
  </si>
  <si>
    <t>Trades evitados</t>
  </si>
  <si>
    <t xml:space="preserve">  Ganadores evitados</t>
  </si>
  <si>
    <t xml:space="preserve">  Retorno promedio evitados</t>
  </si>
  <si>
    <t xml:space="preserve">  Retorno acumulado evitados</t>
  </si>
  <si>
    <t>Trades que quedan</t>
  </si>
  <si>
    <t xml:space="preserve">  % ganadores que quedan</t>
  </si>
  <si>
    <t xml:space="preserve">  Retorno promedio que quedan</t>
  </si>
  <si>
    <t xml:space="preserve">  Retorno acumulado que quedan</t>
  </si>
  <si>
    <t>Diferencia en retorno acumulado</t>
  </si>
  <si>
    <t>Trades evitados por algún filtro</t>
  </si>
  <si>
    <t>Momentum 12m</t>
  </si>
  <si>
    <t>Pasa filtro 1</t>
  </si>
  <si>
    <t>Pasa filtro 2</t>
  </si>
  <si>
    <t>Sensibilidad del piso Donchian</t>
  </si>
  <si>
    <t>Solo salidas con motivo exacto 'ruptura piso Donchian'. Distancia = cierre de salida / piso − 1. Con un margen, esas salidas no se habrían disparado ese día; qué habría pasado después requiere precios diarios (no están en el libro).</t>
  </si>
  <si>
    <t>Salidas por ruptura de piso</t>
  </si>
  <si>
    <t>Margen propuesto</t>
  </si>
  <si>
    <t>Salidas a menos del margen del piso</t>
  </si>
  <si>
    <t>% de las salidas por piso</t>
  </si>
  <si>
    <t>Distancia mediana al piso</t>
  </si>
  <si>
    <t>Distribución de la distancia al piso</t>
  </si>
  <si>
    <t>Desde (&gt;)</t>
  </si>
  <si>
    <t>Hasta (≤)</t>
  </si>
  <si>
    <t>Salidas</t>
  </si>
  <si>
    <t>% del total</t>
  </si>
  <si>
    <t>Retorno prom. del trade</t>
  </si>
  <si>
    <t>Rank 1-3 al salir</t>
  </si>
  <si>
    <t>Costo whipsaws</t>
  </si>
  <si>
    <t>Sensibilidad: salidas que NO se habrían disparado según margen en el piso</t>
  </si>
  <si>
    <t>Margen en el piso</t>
  </si>
  <si>
    <t>Salidas evitadas ese día</t>
  </si>
  <si>
    <t>% de salidas por piso</t>
  </si>
  <si>
    <t>Whipsaws evitables</t>
  </si>
  <si>
    <t>Costo whipsaws evitable</t>
  </si>
  <si>
    <t>Retorno prom. de esos trades</t>
  </si>
  <si>
    <t>Supuesto aproximado (promedio anual T-Bill 3m)</t>
  </si>
  <si>
    <t>Costos de transacción</t>
  </si>
  <si>
    <t>Comisión por operación (compra o venta)</t>
  </si>
  <si>
    <t>Se cobra en cada compra y en cada venta (ida y vuelta = 2 comisiones)</t>
  </si>
  <si>
    <t>Posiciones simultáneas (Top N)</t>
  </si>
  <si>
    <t>Cada trade pesa 1/N del capital; se usa para llevar el costo a nivel cartera</t>
  </si>
  <si>
    <t>Retorno neto comisión</t>
  </si>
  <si>
    <t>Costo comisión</t>
  </si>
  <si>
    <t>Impacto de la comisión (costos de transacción)</t>
  </si>
  <si>
    <t>Comisión por compra y por venta en Parametros!B32. Retorno neto por trade = (salida×(1−c)) / (entrada×(1+c)) − 1. Solo trades cerrados.</t>
  </si>
  <si>
    <t>Operaciones (compra+venta)</t>
  </si>
  <si>
    <t>Ret. acum. bruto</t>
  </si>
  <si>
    <t>Ret. acum. neto</t>
  </si>
  <si>
    <t>% del bruto que se pierde</t>
  </si>
  <si>
    <t>Costo promedio por trade</t>
  </si>
  <si>
    <t>% ganadores neto</t>
  </si>
  <si>
    <t>Peso de Donchian en el costo total</t>
  </si>
  <si>
    <t>Impacto a nivel cartera</t>
  </si>
  <si>
    <t>Período analizado (años)</t>
  </si>
  <si>
    <t>Costo trades cerrados (suma de puntos por trade)</t>
  </si>
  <si>
    <t>+ Comisión de compra del trade abierto</t>
  </si>
  <si>
    <t>Costo total en puntos de trade</t>
  </si>
  <si>
    <t>Costo sobre el capital total (÷ posiciones simultáneas)</t>
  </si>
  <si>
    <t>Costo anual aprox. sobre el capital</t>
  </si>
  <si>
    <t>Retorno total estrategia (del Comparador; confirmar si ya incluye comisiones)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</si>
</sst>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%"/>
    <numFmt numFmtId="166" formatCode="dd/mm/yyyy"/>
    <numFmt numFmtId="167" formatCode="0.0%;\-0.0%;\-"/>
    <numFmt numFmtId="168" formatCode="0.0%;\-0.0%;0.0%"/>
    <numFmt numFmtId="169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164" fontId="0" fillId="0" borderId="0" xfId="0" applyNumberFormat="1"/>
    <xf numFmtId="10" fontId="0" fillId="0" borderId="0" xfId="1" applyNumberFormat="1" applyFont="1"/>
    <xf numFmtId="0" fontId="3" fillId="0" borderId="0" xfId="0" applyFont="1"/>
    <xf numFmtId="0" fontId="2" fillId="0" borderId="0" xfId="0" applyFont="1"/>
    <xf numFmtId="0" fontId="4" fillId="2" borderId="0" xfId="0" applyFont="1" applyFill="1"/>
    <xf numFmtId="0" fontId="5" fillId="0" borderId="0" xfId="0" applyFont="1"/>
    <xf numFmtId="1" fontId="5" fillId="0" borderId="0" xfId="0" applyNumberFormat="1" applyFont="1"/>
    <xf numFmtId="165" fontId="5" fillId="0" borderId="0" xfId="0" applyNumberFormat="1" applyFont="1"/>
    <xf numFmtId="10" fontId="5" fillId="3" borderId="0" xfId="0" applyNumberFormat="1" applyFont="1" applyFill="1"/>
    <xf numFmtId="9" fontId="5" fillId="0" borderId="0" xfId="0" applyNumberFormat="1" applyFont="1"/>
    <xf numFmtId="0" fontId="6" fillId="0" borderId="0" xfId="0" applyFont="1"/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vertical="center" wrapText="1"/>
    </xf>
    <xf numFmtId="167" fontId="0" fillId="0" borderId="0" xfId="0" applyNumberFormat="1"/>
    <xf numFmtId="10" fontId="0" fillId="0" borderId="0" xfId="0" applyNumberFormat="1"/>
    <xf numFmtId="0" fontId="7" fillId="0" borderId="0" xfId="0" applyFont="1"/>
    <xf numFmtId="166" fontId="7" fillId="0" borderId="0" xfId="0" applyNumberFormat="1" applyFont="1"/>
    <xf numFmtId="167" fontId="7" fillId="0" borderId="0" xfId="0" applyNumberFormat="1" applyFont="1"/>
    <xf numFmtId="4" fontId="7" fillId="0" borderId="0" xfId="0" applyNumberFormat="1" applyFont="1"/>
    <xf numFmtId="1" fontId="0" fillId="0" borderId="0" xfId="0" applyNumberFormat="1"/>
    <xf numFmtId="1" fontId="7" fillId="0" borderId="0" xfId="0" applyNumberFormat="1" applyFont="1"/>
    <xf numFmtId="165" fontId="0" fillId="0" borderId="0" xfId="0" applyNumberFormat="1"/>
    <xf numFmtId="165" fontId="7" fillId="0" borderId="0" xfId="0" applyNumberFormat="1" applyFont="1"/>
    <xf numFmtId="167" fontId="2" fillId="0" borderId="0" xfId="0" applyNumberFormat="1" applyFont="1"/>
    <xf numFmtId="168" fontId="7" fillId="0" borderId="0" xfId="0" applyNumberFormat="1" applyFont="1"/>
    <xf numFmtId="10" fontId="7" fillId="0" borderId="0" xfId="0" applyNumberFormat="1" applyFont="1"/>
    <xf numFmtId="165" fontId="7" fillId="3" borderId="0" xfId="0" applyNumberFormat="1" applyFont="1" applyFill="1"/>
    <xf numFmtId="0" fontId="0" fillId="3" borderId="0" xfId="0" applyFill="1"/>
    <xf numFmtId="165" fontId="0" fillId="3" borderId="0" xfId="0" applyNumberFormat="1" applyFill="1"/>
    <xf numFmtId="167" fontId="0" fillId="3" borderId="0" xfId="0" applyNumberFormat="1" applyFill="1"/>
    <xf numFmtId="10" fontId="5" fillId="0" borderId="0" xfId="0" applyNumberFormat="1" applyFont="1"/>
    <xf numFmtId="0" fontId="8" fillId="0" borderId="0" xfId="0" applyFont="1"/>
    <xf numFmtId="10" fontId="2" fillId="0" borderId="0" xfId="0" applyNumberFormat="1" applyFont="1"/>
    <xf numFmtId="165" fontId="2" fillId="0" borderId="0" xfId="0" applyNumberFormat="1" applyFont="1"/>
    <xf numFmtId="169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9BFB93-337F-43EB-9660-B027E8C78123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4e55bba7-00e9-42de-a9af-9549a961215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B3" sqref="B3"/>
    </sheetView>
  </sheetViews>
  <sheetFormatPr baseColWidth="10" defaultColWidth="8.88671875" defaultRowHeight="14.4" x14ac:dyDescent="0.3"/>
  <cols>
    <col min="1" max="1" width="33.21875" bestFit="1" customWidth="1"/>
    <col min="2" max="2" width="13.44140625" bestFit="1" customWidth="1"/>
    <col min="4" max="4" width="6.44140625" bestFit="1" customWidth="1"/>
    <col min="5" max="5" width="10.44140625" bestFit="1" customWidth="1"/>
    <col min="6" max="6" width="6.88671875" bestFit="1" customWidth="1"/>
    <col min="7" max="7" width="7.21875" bestFit="1" customWidth="1"/>
    <col min="8" max="8" width="14.33203125" bestFit="1" customWidth="1"/>
    <col min="9" max="9" width="6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3">
      <c r="A4" t="s">
        <v>27</v>
      </c>
      <c r="B4" t="s">
        <v>10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24</v>
      </c>
    </row>
    <row r="5" spans="1:9" x14ac:dyDescent="0.3">
      <c r="A5" t="s">
        <v>34</v>
      </c>
      <c r="B5" t="s">
        <v>19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 spans="1:9" x14ac:dyDescent="0.3">
      <c r="A6" t="s">
        <v>42</v>
      </c>
      <c r="B6" t="s">
        <v>19</v>
      </c>
      <c r="C6" t="s">
        <v>43</v>
      </c>
      <c r="D6" t="s">
        <v>44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5" sqref="B5"/>
    </sheetView>
  </sheetViews>
  <sheetFormatPr baseColWidth="10" defaultColWidth="8.88671875" defaultRowHeight="14.4" x14ac:dyDescent="0.3"/>
  <cols>
    <col min="1" max="1" width="40" bestFit="1" customWidth="1"/>
  </cols>
  <sheetData>
    <row r="1" spans="1:2" x14ac:dyDescent="0.3">
      <c r="A1" t="s">
        <v>49</v>
      </c>
      <c r="B1" t="s">
        <v>50</v>
      </c>
    </row>
    <row r="2" spans="1:2" x14ac:dyDescent="0.3">
      <c r="A2" t="s">
        <v>51</v>
      </c>
      <c r="B2">
        <v>137</v>
      </c>
    </row>
    <row r="3" spans="1:2" x14ac:dyDescent="0.3">
      <c r="A3" t="s">
        <v>52</v>
      </c>
      <c r="B3">
        <v>137</v>
      </c>
    </row>
    <row r="4" spans="1:2" x14ac:dyDescent="0.3">
      <c r="A4" t="s">
        <v>53</v>
      </c>
      <c r="B4">
        <v>136</v>
      </c>
    </row>
    <row r="5" spans="1:2" x14ac:dyDescent="0.3">
      <c r="A5" t="s">
        <v>54</v>
      </c>
      <c r="B5">
        <v>101</v>
      </c>
    </row>
    <row r="6" spans="1:2" x14ac:dyDescent="0.3">
      <c r="A6" t="s">
        <v>55</v>
      </c>
      <c r="B6">
        <v>33</v>
      </c>
    </row>
    <row r="7" spans="1:2" x14ac:dyDescent="0.3">
      <c r="A7" t="s">
        <v>56</v>
      </c>
      <c r="B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4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8.88671875" defaultRowHeight="14.4" x14ac:dyDescent="0.3"/>
  <cols>
    <col min="1" max="1" width="10.33203125" bestFit="1" customWidth="1"/>
    <col min="4" max="4" width="40" bestFit="1" customWidth="1"/>
    <col min="5" max="5" width="5.109375" bestFit="1" customWidth="1"/>
    <col min="6" max="6" width="15.77734375" style="2" bestFit="1" customWidth="1"/>
    <col min="7" max="7" width="7" bestFit="1" customWidth="1"/>
    <col min="8" max="8" width="12.44140625" bestFit="1" customWidth="1"/>
  </cols>
  <sheetData>
    <row r="1" spans="1:8" x14ac:dyDescent="0.3">
      <c r="A1" t="s">
        <v>57</v>
      </c>
      <c r="B1" t="s">
        <v>58</v>
      </c>
      <c r="C1" t="s">
        <v>59</v>
      </c>
      <c r="D1" t="s">
        <v>49</v>
      </c>
      <c r="E1" t="s">
        <v>60</v>
      </c>
      <c r="F1" s="2" t="s">
        <v>61</v>
      </c>
      <c r="G1" t="s">
        <v>62</v>
      </c>
      <c r="H1" t="s">
        <v>63</v>
      </c>
    </row>
    <row r="2" spans="1:8" x14ac:dyDescent="0.3">
      <c r="A2" s="1">
        <v>42425</v>
      </c>
      <c r="B2" t="s">
        <v>64</v>
      </c>
      <c r="C2" t="s">
        <v>65</v>
      </c>
      <c r="D2" t="s">
        <v>52</v>
      </c>
      <c r="E2">
        <v>1</v>
      </c>
      <c r="F2" s="2">
        <v>8.0500000000000002E-2</v>
      </c>
      <c r="G2">
        <v>17.03</v>
      </c>
      <c r="H2">
        <v>16.89</v>
      </c>
    </row>
    <row r="3" spans="1:8" x14ac:dyDescent="0.3">
      <c r="A3" s="1">
        <v>42425</v>
      </c>
      <c r="B3" t="s">
        <v>66</v>
      </c>
      <c r="C3" t="s">
        <v>65</v>
      </c>
      <c r="D3" t="s">
        <v>52</v>
      </c>
      <c r="E3">
        <v>2</v>
      </c>
      <c r="F3" s="2">
        <v>6.93E-2</v>
      </c>
      <c r="G3">
        <v>39.18</v>
      </c>
      <c r="H3">
        <v>38.79</v>
      </c>
    </row>
    <row r="4" spans="1:8" x14ac:dyDescent="0.3">
      <c r="A4" s="1">
        <v>42430</v>
      </c>
      <c r="B4" t="s">
        <v>67</v>
      </c>
      <c r="C4" t="s">
        <v>65</v>
      </c>
      <c r="D4" t="s">
        <v>52</v>
      </c>
      <c r="E4">
        <v>3</v>
      </c>
      <c r="F4" s="2">
        <v>8.3000000000000001E-3</v>
      </c>
      <c r="G4">
        <v>34.17</v>
      </c>
      <c r="H4">
        <v>33.729999999999997</v>
      </c>
    </row>
    <row r="5" spans="1:8" x14ac:dyDescent="0.3">
      <c r="A5" s="1">
        <v>42480</v>
      </c>
      <c r="B5" t="s">
        <v>64</v>
      </c>
      <c r="C5" t="s">
        <v>68</v>
      </c>
      <c r="D5" t="s">
        <v>54</v>
      </c>
      <c r="E5">
        <v>1</v>
      </c>
      <c r="F5" s="2">
        <v>0.1203</v>
      </c>
      <c r="G5">
        <v>17.32</v>
      </c>
      <c r="H5">
        <v>17.420000000000002</v>
      </c>
    </row>
    <row r="6" spans="1:8" x14ac:dyDescent="0.3">
      <c r="A6" s="1">
        <v>42481</v>
      </c>
      <c r="B6" t="s">
        <v>66</v>
      </c>
      <c r="C6" t="s">
        <v>68</v>
      </c>
      <c r="D6" t="s">
        <v>54</v>
      </c>
      <c r="E6">
        <v>2</v>
      </c>
      <c r="F6" s="2">
        <v>7.5700000000000003E-2</v>
      </c>
      <c r="G6">
        <v>39.35</v>
      </c>
      <c r="H6">
        <v>39.630000000000003</v>
      </c>
    </row>
    <row r="7" spans="1:8" x14ac:dyDescent="0.3">
      <c r="A7" s="1">
        <v>42500</v>
      </c>
      <c r="B7" t="s">
        <v>66</v>
      </c>
      <c r="C7" t="s">
        <v>65</v>
      </c>
      <c r="D7" t="s">
        <v>52</v>
      </c>
      <c r="E7">
        <v>2</v>
      </c>
      <c r="F7" s="2">
        <v>0.13200000000000001</v>
      </c>
      <c r="G7">
        <v>41.09</v>
      </c>
      <c r="H7">
        <v>40.799999999999997</v>
      </c>
    </row>
    <row r="8" spans="1:8" x14ac:dyDescent="0.3">
      <c r="A8" s="1">
        <v>42503</v>
      </c>
      <c r="B8" t="s">
        <v>67</v>
      </c>
      <c r="C8" t="s">
        <v>68</v>
      </c>
      <c r="D8" t="s">
        <v>54</v>
      </c>
      <c r="E8">
        <v>3</v>
      </c>
      <c r="F8" s="2">
        <v>4.3700000000000003E-2</v>
      </c>
      <c r="G8">
        <v>35.07</v>
      </c>
      <c r="H8">
        <v>35.15</v>
      </c>
    </row>
    <row r="9" spans="1:8" x14ac:dyDescent="0.3">
      <c r="A9" s="1">
        <v>42524</v>
      </c>
      <c r="B9" t="s">
        <v>64</v>
      </c>
      <c r="C9" t="s">
        <v>65</v>
      </c>
      <c r="D9" t="s">
        <v>52</v>
      </c>
      <c r="E9">
        <v>1</v>
      </c>
      <c r="F9" s="2">
        <v>0.20039999999999999</v>
      </c>
      <c r="G9">
        <v>18.100000000000001</v>
      </c>
      <c r="H9">
        <v>17.98</v>
      </c>
    </row>
    <row r="10" spans="1:8" x14ac:dyDescent="0.3">
      <c r="A10" s="1">
        <v>42562</v>
      </c>
      <c r="B10" t="s">
        <v>69</v>
      </c>
      <c r="C10" t="s">
        <v>65</v>
      </c>
      <c r="D10" t="s">
        <v>52</v>
      </c>
      <c r="E10">
        <v>3</v>
      </c>
      <c r="F10" s="2">
        <v>9.2200000000000004E-2</v>
      </c>
      <c r="G10">
        <v>19.98</v>
      </c>
      <c r="H10">
        <v>19.88</v>
      </c>
    </row>
    <row r="11" spans="1:8" x14ac:dyDescent="0.3">
      <c r="A11" s="1">
        <v>42587</v>
      </c>
      <c r="B11" t="s">
        <v>64</v>
      </c>
      <c r="C11" t="s">
        <v>68</v>
      </c>
      <c r="D11" t="s">
        <v>54</v>
      </c>
      <c r="E11">
        <v>1</v>
      </c>
      <c r="F11" s="2">
        <v>0.19850000000000001</v>
      </c>
      <c r="G11">
        <v>18.48</v>
      </c>
      <c r="H11">
        <v>18.64</v>
      </c>
    </row>
    <row r="12" spans="1:8" x14ac:dyDescent="0.3">
      <c r="A12" s="1">
        <v>42605</v>
      </c>
      <c r="B12" t="s">
        <v>70</v>
      </c>
      <c r="C12" t="s">
        <v>65</v>
      </c>
      <c r="D12" t="s">
        <v>52</v>
      </c>
      <c r="E12">
        <v>3</v>
      </c>
      <c r="F12" s="2">
        <v>0.21820000000000001</v>
      </c>
      <c r="G12">
        <v>20.2</v>
      </c>
      <c r="H12">
        <v>20.14</v>
      </c>
    </row>
    <row r="13" spans="1:8" x14ac:dyDescent="0.3">
      <c r="A13" s="1">
        <v>42622</v>
      </c>
      <c r="B13" t="s">
        <v>66</v>
      </c>
      <c r="C13" t="s">
        <v>68</v>
      </c>
      <c r="D13" t="s">
        <v>54</v>
      </c>
      <c r="E13">
        <v>3</v>
      </c>
      <c r="F13" s="2">
        <v>0.1545</v>
      </c>
      <c r="G13">
        <v>40.29</v>
      </c>
      <c r="H13">
        <v>41.33</v>
      </c>
    </row>
    <row r="14" spans="1:8" x14ac:dyDescent="0.3">
      <c r="A14" s="1">
        <v>42622</v>
      </c>
      <c r="B14" t="s">
        <v>69</v>
      </c>
      <c r="C14" t="s">
        <v>68</v>
      </c>
      <c r="D14" t="s">
        <v>54</v>
      </c>
      <c r="E14">
        <v>2</v>
      </c>
      <c r="F14" s="2">
        <v>0.16869999999999999</v>
      </c>
      <c r="G14">
        <v>20.78</v>
      </c>
      <c r="H14">
        <v>21.02</v>
      </c>
    </row>
    <row r="15" spans="1:8" x14ac:dyDescent="0.3">
      <c r="A15" s="1">
        <v>42622</v>
      </c>
      <c r="B15" t="s">
        <v>70</v>
      </c>
      <c r="C15" t="s">
        <v>68</v>
      </c>
      <c r="D15" t="s">
        <v>54</v>
      </c>
      <c r="E15">
        <v>5</v>
      </c>
      <c r="F15" s="2">
        <v>0.13059999999999999</v>
      </c>
      <c r="G15">
        <v>19.43</v>
      </c>
      <c r="H15">
        <v>19.739999999999998</v>
      </c>
    </row>
    <row r="16" spans="1:8" x14ac:dyDescent="0.3">
      <c r="A16" s="1">
        <v>42634</v>
      </c>
      <c r="B16" t="s">
        <v>64</v>
      </c>
      <c r="C16" t="s">
        <v>65</v>
      </c>
      <c r="D16" t="s">
        <v>52</v>
      </c>
      <c r="E16">
        <v>1</v>
      </c>
      <c r="F16" s="2">
        <v>0.2525</v>
      </c>
      <c r="G16">
        <v>18.62</v>
      </c>
      <c r="H16">
        <v>18.48</v>
      </c>
    </row>
    <row r="17" spans="1:8" x14ac:dyDescent="0.3">
      <c r="A17" s="1">
        <v>42635</v>
      </c>
      <c r="B17" t="s">
        <v>69</v>
      </c>
      <c r="C17" t="s">
        <v>65</v>
      </c>
      <c r="D17" t="s">
        <v>52</v>
      </c>
      <c r="E17">
        <v>2</v>
      </c>
      <c r="F17" s="2">
        <v>0.22439999999999999</v>
      </c>
      <c r="G17">
        <v>21.65</v>
      </c>
      <c r="H17">
        <v>21.54</v>
      </c>
    </row>
    <row r="18" spans="1:8" x14ac:dyDescent="0.3">
      <c r="A18" s="1">
        <v>42647</v>
      </c>
      <c r="B18" t="s">
        <v>64</v>
      </c>
      <c r="C18" t="s">
        <v>68</v>
      </c>
      <c r="D18" t="s">
        <v>54</v>
      </c>
      <c r="E18">
        <v>4</v>
      </c>
      <c r="F18" s="2">
        <v>0.1147</v>
      </c>
      <c r="G18">
        <v>17.38</v>
      </c>
      <c r="H18">
        <v>17.63</v>
      </c>
    </row>
    <row r="19" spans="1:8" x14ac:dyDescent="0.3">
      <c r="A19" s="1">
        <v>42674</v>
      </c>
      <c r="B19" t="s">
        <v>64</v>
      </c>
      <c r="C19" t="s">
        <v>65</v>
      </c>
      <c r="D19" t="s">
        <v>52</v>
      </c>
      <c r="E19">
        <v>1</v>
      </c>
      <c r="F19" s="2">
        <v>0.1694</v>
      </c>
      <c r="G19">
        <v>18.16</v>
      </c>
      <c r="H19">
        <v>18.010000000000002</v>
      </c>
    </row>
    <row r="20" spans="1:8" x14ac:dyDescent="0.3">
      <c r="A20" s="1">
        <v>42677</v>
      </c>
      <c r="B20" t="s">
        <v>69</v>
      </c>
      <c r="C20" t="s">
        <v>68</v>
      </c>
      <c r="D20" t="s">
        <v>54</v>
      </c>
      <c r="E20">
        <v>3</v>
      </c>
      <c r="F20" s="2">
        <v>6.3799999999999996E-2</v>
      </c>
      <c r="G20">
        <v>20.91</v>
      </c>
      <c r="H20">
        <v>21.06</v>
      </c>
    </row>
    <row r="21" spans="1:8" x14ac:dyDescent="0.3">
      <c r="A21" s="1">
        <v>42683</v>
      </c>
      <c r="B21" t="s">
        <v>71</v>
      </c>
      <c r="C21" t="s">
        <v>65</v>
      </c>
      <c r="D21" t="s">
        <v>52</v>
      </c>
      <c r="E21">
        <v>2</v>
      </c>
      <c r="F21" s="2">
        <v>0.1208</v>
      </c>
      <c r="G21">
        <v>50.51</v>
      </c>
      <c r="H21">
        <v>49.43</v>
      </c>
    </row>
    <row r="22" spans="1:8" x14ac:dyDescent="0.3">
      <c r="A22" s="1">
        <v>42684</v>
      </c>
      <c r="B22" t="s">
        <v>64</v>
      </c>
      <c r="C22" t="s">
        <v>68</v>
      </c>
      <c r="D22" t="s">
        <v>54</v>
      </c>
      <c r="E22">
        <v>3</v>
      </c>
      <c r="F22" s="2">
        <v>0.10970000000000001</v>
      </c>
      <c r="G22">
        <v>16.989999999999998</v>
      </c>
      <c r="H22">
        <v>17.37</v>
      </c>
    </row>
    <row r="23" spans="1:8" x14ac:dyDescent="0.3">
      <c r="A23" s="1">
        <v>42684</v>
      </c>
      <c r="B23" t="s">
        <v>70</v>
      </c>
      <c r="C23" t="s">
        <v>65</v>
      </c>
      <c r="D23" t="s">
        <v>52</v>
      </c>
      <c r="E23">
        <v>2</v>
      </c>
      <c r="F23" s="2">
        <v>0.1144</v>
      </c>
      <c r="G23">
        <v>20.09</v>
      </c>
      <c r="H23">
        <v>19.91</v>
      </c>
    </row>
    <row r="24" spans="1:8" x14ac:dyDescent="0.3">
      <c r="A24" s="1">
        <v>42688</v>
      </c>
      <c r="B24" t="s">
        <v>72</v>
      </c>
      <c r="C24" t="s">
        <v>65</v>
      </c>
      <c r="D24" t="s">
        <v>52</v>
      </c>
      <c r="E24">
        <v>2</v>
      </c>
      <c r="F24" s="2">
        <v>0.16650000000000001</v>
      </c>
      <c r="G24">
        <v>18.54</v>
      </c>
      <c r="H24">
        <v>18.12</v>
      </c>
    </row>
    <row r="25" spans="1:8" x14ac:dyDescent="0.3">
      <c r="A25" s="1">
        <v>42692</v>
      </c>
      <c r="B25" t="s">
        <v>70</v>
      </c>
      <c r="C25" t="s">
        <v>68</v>
      </c>
      <c r="D25" t="s">
        <v>55</v>
      </c>
      <c r="E25">
        <v>6</v>
      </c>
      <c r="F25" s="2">
        <v>8.0500000000000002E-2</v>
      </c>
      <c r="G25">
        <v>19.89</v>
      </c>
      <c r="H25">
        <v>18.98</v>
      </c>
    </row>
    <row r="26" spans="1:8" x14ac:dyDescent="0.3">
      <c r="A26" s="1">
        <v>42695</v>
      </c>
      <c r="B26" t="s">
        <v>73</v>
      </c>
      <c r="C26" t="s">
        <v>65</v>
      </c>
      <c r="D26" t="s">
        <v>52</v>
      </c>
      <c r="E26">
        <v>3</v>
      </c>
      <c r="F26" s="2">
        <v>0.1202</v>
      </c>
      <c r="G26">
        <v>24.4</v>
      </c>
      <c r="H26">
        <v>24.26</v>
      </c>
    </row>
    <row r="27" spans="1:8" x14ac:dyDescent="0.3">
      <c r="A27" s="1">
        <v>42697</v>
      </c>
      <c r="B27" t="s">
        <v>73</v>
      </c>
      <c r="C27" t="s">
        <v>68</v>
      </c>
      <c r="D27" t="s">
        <v>55</v>
      </c>
      <c r="E27">
        <v>6</v>
      </c>
      <c r="F27" s="2">
        <v>9.2799999999999994E-2</v>
      </c>
      <c r="G27">
        <v>24.49</v>
      </c>
      <c r="H27">
        <v>22.45</v>
      </c>
    </row>
    <row r="28" spans="1:8" x14ac:dyDescent="0.3">
      <c r="A28" s="1">
        <v>42712</v>
      </c>
      <c r="B28" t="s">
        <v>73</v>
      </c>
      <c r="C28" t="s">
        <v>65</v>
      </c>
      <c r="D28" t="s">
        <v>52</v>
      </c>
      <c r="E28">
        <v>1</v>
      </c>
      <c r="F28" s="2">
        <v>0.25919999999999999</v>
      </c>
      <c r="G28">
        <v>25.59</v>
      </c>
      <c r="H28">
        <v>25.5</v>
      </c>
    </row>
    <row r="29" spans="1:8" x14ac:dyDescent="0.3">
      <c r="A29" s="1">
        <v>42744</v>
      </c>
      <c r="B29" t="s">
        <v>73</v>
      </c>
      <c r="C29" t="s">
        <v>68</v>
      </c>
      <c r="D29" t="s">
        <v>54</v>
      </c>
      <c r="E29">
        <v>1</v>
      </c>
      <c r="F29" s="2">
        <v>0.36809999999999998</v>
      </c>
      <c r="G29">
        <v>25.2</v>
      </c>
      <c r="H29">
        <v>25.29</v>
      </c>
    </row>
    <row r="30" spans="1:8" x14ac:dyDescent="0.3">
      <c r="A30" s="1">
        <v>42752</v>
      </c>
      <c r="B30" t="s">
        <v>72</v>
      </c>
      <c r="C30" t="s">
        <v>68</v>
      </c>
      <c r="D30" t="s">
        <v>54</v>
      </c>
      <c r="E30">
        <v>3</v>
      </c>
      <c r="F30" s="2">
        <v>0.34429999999999999</v>
      </c>
      <c r="G30">
        <v>19.25</v>
      </c>
      <c r="H30">
        <v>19.38</v>
      </c>
    </row>
    <row r="31" spans="1:8" x14ac:dyDescent="0.3">
      <c r="A31" s="1">
        <v>42759</v>
      </c>
      <c r="B31" t="s">
        <v>70</v>
      </c>
      <c r="C31" t="s">
        <v>65</v>
      </c>
      <c r="D31" t="s">
        <v>52</v>
      </c>
      <c r="E31">
        <v>2</v>
      </c>
      <c r="F31" s="2">
        <v>0.43719999999999998</v>
      </c>
      <c r="G31">
        <v>21.76</v>
      </c>
      <c r="H31">
        <v>21.24</v>
      </c>
    </row>
    <row r="32" spans="1:8" x14ac:dyDescent="0.3">
      <c r="A32" s="1">
        <v>42779</v>
      </c>
      <c r="B32" t="s">
        <v>72</v>
      </c>
      <c r="C32" t="s">
        <v>65</v>
      </c>
      <c r="D32" t="s">
        <v>52</v>
      </c>
      <c r="E32">
        <v>1</v>
      </c>
      <c r="F32" s="2">
        <v>0.47270000000000001</v>
      </c>
      <c r="G32">
        <v>20.170000000000002</v>
      </c>
      <c r="H32">
        <v>20.010000000000002</v>
      </c>
    </row>
    <row r="33" spans="1:8" x14ac:dyDescent="0.3">
      <c r="A33" s="1">
        <v>42815</v>
      </c>
      <c r="B33" t="s">
        <v>71</v>
      </c>
      <c r="C33" t="s">
        <v>68</v>
      </c>
      <c r="D33" t="s">
        <v>54</v>
      </c>
      <c r="E33">
        <v>3</v>
      </c>
      <c r="F33" s="2">
        <v>0.1789</v>
      </c>
      <c r="G33">
        <v>55.24</v>
      </c>
      <c r="H33">
        <v>55.4</v>
      </c>
    </row>
    <row r="34" spans="1:8" x14ac:dyDescent="0.3">
      <c r="A34" s="1">
        <v>42815</v>
      </c>
      <c r="B34" t="s">
        <v>72</v>
      </c>
      <c r="C34" t="s">
        <v>68</v>
      </c>
      <c r="D34" t="s">
        <v>54</v>
      </c>
      <c r="E34">
        <v>1</v>
      </c>
      <c r="F34" s="2">
        <v>0.30220000000000002</v>
      </c>
      <c r="G34">
        <v>19.84</v>
      </c>
      <c r="H34">
        <v>20.39</v>
      </c>
    </row>
    <row r="35" spans="1:8" x14ac:dyDescent="0.3">
      <c r="A35" s="1">
        <v>42849</v>
      </c>
      <c r="B35" t="s">
        <v>71</v>
      </c>
      <c r="C35" t="s">
        <v>65</v>
      </c>
      <c r="D35" t="s">
        <v>52</v>
      </c>
      <c r="E35">
        <v>3</v>
      </c>
      <c r="F35" s="2">
        <v>0.20169999999999999</v>
      </c>
      <c r="G35">
        <v>56.76</v>
      </c>
      <c r="H35">
        <v>56.37</v>
      </c>
    </row>
    <row r="36" spans="1:8" x14ac:dyDescent="0.3">
      <c r="A36" s="1">
        <v>42850</v>
      </c>
      <c r="B36" t="s">
        <v>69</v>
      </c>
      <c r="C36" t="s">
        <v>65</v>
      </c>
      <c r="D36" t="s">
        <v>52</v>
      </c>
      <c r="E36">
        <v>2</v>
      </c>
      <c r="F36" s="2">
        <v>0.26629999999999998</v>
      </c>
      <c r="G36">
        <v>24.64</v>
      </c>
      <c r="H36">
        <v>24.53</v>
      </c>
    </row>
    <row r="37" spans="1:8" x14ac:dyDescent="0.3">
      <c r="A37" s="1">
        <v>42880</v>
      </c>
      <c r="B37" t="s">
        <v>70</v>
      </c>
      <c r="C37" t="s">
        <v>68</v>
      </c>
      <c r="D37" t="s">
        <v>55</v>
      </c>
      <c r="E37">
        <v>6</v>
      </c>
      <c r="F37" s="2">
        <v>0.1295</v>
      </c>
      <c r="G37">
        <v>21.96</v>
      </c>
      <c r="H37">
        <v>21.34</v>
      </c>
    </row>
    <row r="38" spans="1:8" x14ac:dyDescent="0.3">
      <c r="A38" s="1">
        <v>42895</v>
      </c>
      <c r="B38" t="s">
        <v>72</v>
      </c>
      <c r="C38" t="s">
        <v>65</v>
      </c>
      <c r="D38" t="s">
        <v>52</v>
      </c>
      <c r="E38">
        <v>1</v>
      </c>
      <c r="F38" s="2">
        <v>0.29849999999999999</v>
      </c>
      <c r="G38">
        <v>20.45</v>
      </c>
      <c r="H38">
        <v>20.21</v>
      </c>
    </row>
    <row r="39" spans="1:8" x14ac:dyDescent="0.3">
      <c r="A39" s="1">
        <v>42957</v>
      </c>
      <c r="B39" t="s">
        <v>71</v>
      </c>
      <c r="C39" t="s">
        <v>68</v>
      </c>
      <c r="D39" t="s">
        <v>54</v>
      </c>
      <c r="E39">
        <v>3</v>
      </c>
      <c r="F39" s="2">
        <v>0.18690000000000001</v>
      </c>
      <c r="G39">
        <v>58.3</v>
      </c>
      <c r="H39">
        <v>58.38</v>
      </c>
    </row>
    <row r="40" spans="1:8" x14ac:dyDescent="0.3">
      <c r="A40" s="1">
        <v>42964</v>
      </c>
      <c r="B40" t="s">
        <v>72</v>
      </c>
      <c r="C40" t="s">
        <v>68</v>
      </c>
      <c r="D40" t="s">
        <v>54</v>
      </c>
      <c r="E40">
        <v>1</v>
      </c>
      <c r="F40" s="2">
        <v>0.28139999999999998</v>
      </c>
      <c r="G40">
        <v>20.8</v>
      </c>
      <c r="H40">
        <v>20.85</v>
      </c>
    </row>
    <row r="41" spans="1:8" x14ac:dyDescent="0.3">
      <c r="A41" s="1">
        <v>42990</v>
      </c>
      <c r="B41" t="s">
        <v>71</v>
      </c>
      <c r="C41" t="s">
        <v>65</v>
      </c>
      <c r="D41" t="s">
        <v>52</v>
      </c>
      <c r="E41">
        <v>3</v>
      </c>
      <c r="F41" s="2">
        <v>0.22120000000000001</v>
      </c>
      <c r="G41">
        <v>59.48</v>
      </c>
      <c r="H41">
        <v>59.21</v>
      </c>
    </row>
    <row r="42" spans="1:8" x14ac:dyDescent="0.3">
      <c r="A42" s="1">
        <v>42996</v>
      </c>
      <c r="B42" t="s">
        <v>72</v>
      </c>
      <c r="C42" t="s">
        <v>65</v>
      </c>
      <c r="D42" t="s">
        <v>52</v>
      </c>
      <c r="E42">
        <v>1</v>
      </c>
      <c r="F42" s="2">
        <v>0.32719999999999999</v>
      </c>
      <c r="G42">
        <v>21.26</v>
      </c>
      <c r="H42">
        <v>21.06</v>
      </c>
    </row>
    <row r="43" spans="1:8" x14ac:dyDescent="0.3">
      <c r="A43" s="1">
        <v>43040</v>
      </c>
      <c r="B43" t="s">
        <v>71</v>
      </c>
      <c r="C43" t="s">
        <v>68</v>
      </c>
      <c r="D43" t="s">
        <v>54</v>
      </c>
      <c r="E43">
        <v>4</v>
      </c>
      <c r="F43" s="2">
        <v>0.2858</v>
      </c>
      <c r="G43">
        <v>61.74</v>
      </c>
      <c r="H43">
        <v>61.75</v>
      </c>
    </row>
    <row r="44" spans="1:8" x14ac:dyDescent="0.3">
      <c r="A44" s="1">
        <v>43052</v>
      </c>
      <c r="B44" t="s">
        <v>64</v>
      </c>
      <c r="C44" t="s">
        <v>65</v>
      </c>
      <c r="D44" t="s">
        <v>52</v>
      </c>
      <c r="E44">
        <v>2</v>
      </c>
      <c r="F44" s="2">
        <v>0.2611</v>
      </c>
      <c r="G44">
        <v>21.33</v>
      </c>
      <c r="H44">
        <v>21.22</v>
      </c>
    </row>
    <row r="45" spans="1:8" x14ac:dyDescent="0.3">
      <c r="A45" s="1">
        <v>43073</v>
      </c>
      <c r="B45" t="s">
        <v>69</v>
      </c>
      <c r="C45" t="s">
        <v>68</v>
      </c>
      <c r="D45" t="s">
        <v>54</v>
      </c>
      <c r="E45">
        <v>1</v>
      </c>
      <c r="F45" s="2">
        <v>0.35980000000000001</v>
      </c>
      <c r="G45">
        <v>28.69</v>
      </c>
      <c r="H45">
        <v>28.74</v>
      </c>
    </row>
    <row r="46" spans="1:8" x14ac:dyDescent="0.3">
      <c r="A46" s="1">
        <v>43081</v>
      </c>
      <c r="B46" t="s">
        <v>64</v>
      </c>
      <c r="C46" t="s">
        <v>68</v>
      </c>
      <c r="D46" t="s">
        <v>55</v>
      </c>
      <c r="E46">
        <v>7</v>
      </c>
      <c r="F46" s="2">
        <v>0.1782</v>
      </c>
      <c r="G46">
        <v>20.98</v>
      </c>
      <c r="H46">
        <v>20.93</v>
      </c>
    </row>
    <row r="47" spans="1:8" x14ac:dyDescent="0.3">
      <c r="A47" s="1">
        <v>43087</v>
      </c>
      <c r="B47" t="s">
        <v>69</v>
      </c>
      <c r="C47" t="s">
        <v>65</v>
      </c>
      <c r="D47" t="s">
        <v>52</v>
      </c>
      <c r="E47">
        <v>1</v>
      </c>
      <c r="F47" s="2">
        <v>0.3609</v>
      </c>
      <c r="G47">
        <v>30.02</v>
      </c>
      <c r="H47">
        <v>29.8</v>
      </c>
    </row>
    <row r="48" spans="1:8" x14ac:dyDescent="0.3">
      <c r="A48" s="1">
        <v>43091</v>
      </c>
      <c r="B48" t="s">
        <v>72</v>
      </c>
      <c r="C48" t="s">
        <v>68</v>
      </c>
      <c r="D48" t="s">
        <v>55</v>
      </c>
      <c r="E48">
        <v>6</v>
      </c>
      <c r="F48" s="2">
        <v>0.21099999999999999</v>
      </c>
      <c r="G48">
        <v>23.91</v>
      </c>
      <c r="H48">
        <v>22.21</v>
      </c>
    </row>
    <row r="49" spans="1:8" x14ac:dyDescent="0.3">
      <c r="A49" s="1">
        <v>43102</v>
      </c>
      <c r="B49" t="s">
        <v>70</v>
      </c>
      <c r="C49" t="s">
        <v>65</v>
      </c>
      <c r="D49" t="s">
        <v>52</v>
      </c>
      <c r="E49">
        <v>2</v>
      </c>
      <c r="F49" s="2">
        <v>0.25769999999999998</v>
      </c>
      <c r="G49">
        <v>25.9</v>
      </c>
      <c r="H49">
        <v>25.68</v>
      </c>
    </row>
    <row r="50" spans="1:8" x14ac:dyDescent="0.3">
      <c r="A50" s="1">
        <v>43103</v>
      </c>
      <c r="B50" t="s">
        <v>71</v>
      </c>
      <c r="C50" t="s">
        <v>65</v>
      </c>
      <c r="D50" t="s">
        <v>52</v>
      </c>
      <c r="E50">
        <v>3</v>
      </c>
      <c r="F50" s="2">
        <v>0.2465</v>
      </c>
      <c r="G50">
        <v>66.45</v>
      </c>
      <c r="H50">
        <v>66.099999999999994</v>
      </c>
    </row>
    <row r="51" spans="1:8" x14ac:dyDescent="0.3">
      <c r="A51" s="1">
        <v>43118</v>
      </c>
      <c r="B51" t="s">
        <v>70</v>
      </c>
      <c r="C51" t="s">
        <v>68</v>
      </c>
      <c r="D51" t="s">
        <v>55</v>
      </c>
      <c r="E51">
        <v>6</v>
      </c>
      <c r="F51" s="2">
        <v>0.25679999999999997</v>
      </c>
      <c r="G51">
        <v>26.54</v>
      </c>
      <c r="H51">
        <v>25.07</v>
      </c>
    </row>
    <row r="52" spans="1:8" x14ac:dyDescent="0.3">
      <c r="A52" s="1">
        <v>43122</v>
      </c>
      <c r="B52" t="s">
        <v>72</v>
      </c>
      <c r="C52" t="s">
        <v>65</v>
      </c>
      <c r="D52" t="s">
        <v>52</v>
      </c>
      <c r="E52">
        <v>2</v>
      </c>
      <c r="F52" s="2">
        <v>0.30740000000000001</v>
      </c>
      <c r="G52">
        <v>25.39</v>
      </c>
      <c r="H52">
        <v>25.19</v>
      </c>
    </row>
    <row r="53" spans="1:8" x14ac:dyDescent="0.3">
      <c r="A53" s="1">
        <v>43136</v>
      </c>
      <c r="B53" t="s">
        <v>69</v>
      </c>
      <c r="C53" t="s">
        <v>68</v>
      </c>
      <c r="D53" t="s">
        <v>54</v>
      </c>
      <c r="E53">
        <v>1</v>
      </c>
      <c r="F53" s="2">
        <v>0.27579999999999999</v>
      </c>
      <c r="G53">
        <v>29.36</v>
      </c>
      <c r="H53">
        <v>30.34</v>
      </c>
    </row>
    <row r="54" spans="1:8" x14ac:dyDescent="0.3">
      <c r="A54" s="1">
        <v>43136</v>
      </c>
      <c r="B54" t="s">
        <v>71</v>
      </c>
      <c r="C54" t="s">
        <v>68</v>
      </c>
      <c r="D54" t="s">
        <v>54</v>
      </c>
      <c r="E54">
        <v>4</v>
      </c>
      <c r="F54" s="2">
        <v>0.193</v>
      </c>
      <c r="G54">
        <v>64.64</v>
      </c>
      <c r="H54">
        <v>66.88</v>
      </c>
    </row>
    <row r="55" spans="1:8" x14ac:dyDescent="0.3">
      <c r="A55" s="1">
        <v>43136</v>
      </c>
      <c r="B55" t="s">
        <v>72</v>
      </c>
      <c r="C55" t="s">
        <v>68</v>
      </c>
      <c r="D55" t="s">
        <v>54</v>
      </c>
      <c r="E55">
        <v>3</v>
      </c>
      <c r="F55" s="2">
        <v>0.19450000000000001</v>
      </c>
      <c r="G55">
        <v>23.77</v>
      </c>
      <c r="H55">
        <v>24.07</v>
      </c>
    </row>
    <row r="56" spans="1:8" x14ac:dyDescent="0.3">
      <c r="A56" s="1">
        <v>43168</v>
      </c>
      <c r="B56" t="s">
        <v>69</v>
      </c>
      <c r="C56" t="s">
        <v>65</v>
      </c>
      <c r="D56" t="s">
        <v>52</v>
      </c>
      <c r="E56">
        <v>1</v>
      </c>
      <c r="F56" s="2">
        <v>0.35499999999999998</v>
      </c>
      <c r="G56">
        <v>32.5</v>
      </c>
      <c r="H56">
        <v>32.130000000000003</v>
      </c>
    </row>
    <row r="57" spans="1:8" x14ac:dyDescent="0.3">
      <c r="A57" s="1">
        <v>43182</v>
      </c>
      <c r="B57" t="s">
        <v>69</v>
      </c>
      <c r="C57" t="s">
        <v>68</v>
      </c>
      <c r="D57" t="s">
        <v>54</v>
      </c>
      <c r="E57">
        <v>1</v>
      </c>
      <c r="F57" s="2">
        <v>0.2351</v>
      </c>
      <c r="G57">
        <v>29.72</v>
      </c>
      <c r="H57">
        <v>30.46</v>
      </c>
    </row>
    <row r="58" spans="1:8" x14ac:dyDescent="0.3">
      <c r="A58" s="1">
        <v>43229</v>
      </c>
      <c r="B58" t="s">
        <v>69</v>
      </c>
      <c r="C58" t="s">
        <v>65</v>
      </c>
      <c r="D58" t="s">
        <v>52</v>
      </c>
      <c r="E58">
        <v>1</v>
      </c>
      <c r="F58" s="2">
        <v>0.26779999999999998</v>
      </c>
      <c r="G58">
        <v>31.94</v>
      </c>
      <c r="H58">
        <v>31.63</v>
      </c>
    </row>
    <row r="59" spans="1:8" x14ac:dyDescent="0.3">
      <c r="A59" s="1">
        <v>43229</v>
      </c>
      <c r="B59" t="s">
        <v>73</v>
      </c>
      <c r="C59" t="s">
        <v>65</v>
      </c>
      <c r="D59" t="s">
        <v>52</v>
      </c>
      <c r="E59">
        <v>3</v>
      </c>
      <c r="F59" s="2">
        <v>0.1699</v>
      </c>
      <c r="G59">
        <v>26.66</v>
      </c>
      <c r="H59">
        <v>26.49</v>
      </c>
    </row>
    <row r="60" spans="1:8" x14ac:dyDescent="0.3">
      <c r="A60" s="1">
        <v>43256</v>
      </c>
      <c r="B60" t="s">
        <v>67</v>
      </c>
      <c r="C60" t="s">
        <v>65</v>
      </c>
      <c r="D60" t="s">
        <v>52</v>
      </c>
      <c r="E60">
        <v>3</v>
      </c>
      <c r="F60" s="2">
        <v>0.1933</v>
      </c>
      <c r="G60">
        <v>50.1</v>
      </c>
      <c r="H60">
        <v>49.82</v>
      </c>
    </row>
    <row r="61" spans="1:8" x14ac:dyDescent="0.3">
      <c r="A61" s="1">
        <v>43278</v>
      </c>
      <c r="B61" t="s">
        <v>69</v>
      </c>
      <c r="C61" t="s">
        <v>68</v>
      </c>
      <c r="D61" t="s">
        <v>54</v>
      </c>
      <c r="E61">
        <v>1</v>
      </c>
      <c r="F61" s="2">
        <v>0.2641</v>
      </c>
      <c r="G61">
        <v>31.86</v>
      </c>
      <c r="H61">
        <v>31.88</v>
      </c>
    </row>
    <row r="62" spans="1:8" x14ac:dyDescent="0.3">
      <c r="A62" s="1">
        <v>43293</v>
      </c>
      <c r="B62" t="s">
        <v>69</v>
      </c>
      <c r="C62" t="s">
        <v>65</v>
      </c>
      <c r="D62" t="s">
        <v>52</v>
      </c>
      <c r="E62">
        <v>1</v>
      </c>
      <c r="F62" s="2">
        <v>0.30919999999999997</v>
      </c>
      <c r="G62">
        <v>33.69</v>
      </c>
      <c r="H62">
        <v>33.49</v>
      </c>
    </row>
    <row r="63" spans="1:8" x14ac:dyDescent="0.3">
      <c r="A63" s="1">
        <v>43327</v>
      </c>
      <c r="B63" t="s">
        <v>73</v>
      </c>
      <c r="C63" t="s">
        <v>68</v>
      </c>
      <c r="D63" t="s">
        <v>54</v>
      </c>
      <c r="E63">
        <v>3</v>
      </c>
      <c r="F63" s="2">
        <v>0.1709</v>
      </c>
      <c r="G63">
        <v>25.38</v>
      </c>
      <c r="H63">
        <v>26.11</v>
      </c>
    </row>
    <row r="64" spans="1:8" x14ac:dyDescent="0.3">
      <c r="A64" s="1">
        <v>43361</v>
      </c>
      <c r="B64" t="s">
        <v>71</v>
      </c>
      <c r="C64" t="s">
        <v>65</v>
      </c>
      <c r="D64" t="s">
        <v>52</v>
      </c>
      <c r="E64">
        <v>3</v>
      </c>
      <c r="F64" s="2">
        <v>0.15939999999999999</v>
      </c>
      <c r="G64">
        <v>69.86</v>
      </c>
      <c r="H64">
        <v>69.53</v>
      </c>
    </row>
    <row r="65" spans="1:8" x14ac:dyDescent="0.3">
      <c r="A65" s="1">
        <v>43367</v>
      </c>
      <c r="B65" t="s">
        <v>71</v>
      </c>
      <c r="C65" t="s">
        <v>68</v>
      </c>
      <c r="D65" t="s">
        <v>55</v>
      </c>
      <c r="E65">
        <v>6</v>
      </c>
      <c r="F65" s="2">
        <v>0.13189999999999999</v>
      </c>
      <c r="G65">
        <v>69.150000000000006</v>
      </c>
      <c r="H65">
        <v>66.83</v>
      </c>
    </row>
    <row r="66" spans="1:8" x14ac:dyDescent="0.3">
      <c r="A66" s="1">
        <v>43374</v>
      </c>
      <c r="B66" t="s">
        <v>74</v>
      </c>
      <c r="C66" t="s">
        <v>65</v>
      </c>
      <c r="D66" t="s">
        <v>52</v>
      </c>
      <c r="E66">
        <v>3</v>
      </c>
      <c r="F66" s="2">
        <v>0.18770000000000001</v>
      </c>
      <c r="G66">
        <v>83.73</v>
      </c>
      <c r="H66">
        <v>83.37</v>
      </c>
    </row>
    <row r="67" spans="1:8" x14ac:dyDescent="0.3">
      <c r="A67" s="1">
        <v>43377</v>
      </c>
      <c r="B67" t="s">
        <v>67</v>
      </c>
      <c r="C67" t="s">
        <v>68</v>
      </c>
      <c r="D67" t="s">
        <v>54</v>
      </c>
      <c r="E67">
        <v>2</v>
      </c>
      <c r="F67" s="2">
        <v>0.25629999999999997</v>
      </c>
      <c r="G67">
        <v>52.58</v>
      </c>
      <c r="H67">
        <v>53.21</v>
      </c>
    </row>
    <row r="68" spans="1:8" x14ac:dyDescent="0.3">
      <c r="A68" s="1">
        <v>43381</v>
      </c>
      <c r="B68" t="s">
        <v>69</v>
      </c>
      <c r="C68" t="s">
        <v>68</v>
      </c>
      <c r="D68" t="s">
        <v>54</v>
      </c>
      <c r="E68">
        <v>2</v>
      </c>
      <c r="F68" s="2">
        <v>0.23100000000000001</v>
      </c>
      <c r="G68">
        <v>33.89</v>
      </c>
      <c r="H68">
        <v>33.94</v>
      </c>
    </row>
    <row r="69" spans="1:8" x14ac:dyDescent="0.3">
      <c r="A69" s="1">
        <v>43384</v>
      </c>
      <c r="B69" t="s">
        <v>74</v>
      </c>
      <c r="C69" t="s">
        <v>68</v>
      </c>
      <c r="D69" t="s">
        <v>54</v>
      </c>
      <c r="E69">
        <v>3</v>
      </c>
      <c r="F69" s="2">
        <v>0.1007</v>
      </c>
      <c r="G69">
        <v>78.540000000000006</v>
      </c>
      <c r="H69">
        <v>80.66</v>
      </c>
    </row>
    <row r="70" spans="1:8" x14ac:dyDescent="0.3">
      <c r="A70" s="1">
        <v>43434</v>
      </c>
      <c r="B70" t="s">
        <v>74</v>
      </c>
      <c r="C70" t="s">
        <v>65</v>
      </c>
      <c r="D70" t="s">
        <v>52</v>
      </c>
      <c r="E70">
        <v>1</v>
      </c>
      <c r="F70" s="2">
        <v>0.16600000000000001</v>
      </c>
      <c r="G70">
        <v>83.95</v>
      </c>
      <c r="H70">
        <v>82.76</v>
      </c>
    </row>
    <row r="71" spans="1:8" x14ac:dyDescent="0.3">
      <c r="A71" s="1">
        <v>43451</v>
      </c>
      <c r="B71" t="s">
        <v>74</v>
      </c>
      <c r="C71" t="s">
        <v>68</v>
      </c>
      <c r="D71" t="s">
        <v>54</v>
      </c>
      <c r="E71">
        <v>1</v>
      </c>
      <c r="F71" s="2">
        <v>6.4799999999999996E-2</v>
      </c>
      <c r="G71">
        <v>76.349999999999994</v>
      </c>
      <c r="H71">
        <v>77.63</v>
      </c>
    </row>
    <row r="72" spans="1:8" x14ac:dyDescent="0.3">
      <c r="A72" s="1">
        <v>43483</v>
      </c>
      <c r="B72" t="s">
        <v>74</v>
      </c>
      <c r="C72" t="s">
        <v>65</v>
      </c>
      <c r="D72" t="s">
        <v>52</v>
      </c>
      <c r="E72">
        <v>3</v>
      </c>
      <c r="F72" s="2">
        <v>3.85E-2</v>
      </c>
      <c r="G72">
        <v>79.239999999999995</v>
      </c>
      <c r="H72">
        <v>78.63</v>
      </c>
    </row>
    <row r="73" spans="1:8" x14ac:dyDescent="0.3">
      <c r="A73" s="1">
        <v>43490</v>
      </c>
      <c r="B73" t="s">
        <v>75</v>
      </c>
      <c r="C73" t="s">
        <v>65</v>
      </c>
      <c r="D73" t="s">
        <v>52</v>
      </c>
      <c r="E73">
        <v>2</v>
      </c>
      <c r="F73" s="2">
        <v>6.9199999999999998E-2</v>
      </c>
      <c r="G73">
        <v>25.83</v>
      </c>
      <c r="H73">
        <v>25.6</v>
      </c>
    </row>
    <row r="74" spans="1:8" x14ac:dyDescent="0.3">
      <c r="A74" s="1">
        <v>43495</v>
      </c>
      <c r="B74" t="s">
        <v>67</v>
      </c>
      <c r="C74" t="s">
        <v>65</v>
      </c>
      <c r="D74" t="s">
        <v>52</v>
      </c>
      <c r="E74">
        <v>3</v>
      </c>
      <c r="F74" s="2">
        <v>4.1999999999999997E-3</v>
      </c>
      <c r="G74">
        <v>50.31</v>
      </c>
      <c r="H74">
        <v>50.14</v>
      </c>
    </row>
    <row r="75" spans="1:8" x14ac:dyDescent="0.3">
      <c r="A75" s="1">
        <v>43546</v>
      </c>
      <c r="B75" t="s">
        <v>67</v>
      </c>
      <c r="C75" t="s">
        <v>68</v>
      </c>
      <c r="D75" t="s">
        <v>55</v>
      </c>
      <c r="E75">
        <v>6</v>
      </c>
      <c r="F75" s="2">
        <v>8.3400000000000002E-2</v>
      </c>
      <c r="G75">
        <v>52.3</v>
      </c>
      <c r="H75">
        <v>50.25</v>
      </c>
    </row>
    <row r="76" spans="1:8" x14ac:dyDescent="0.3">
      <c r="A76" s="1">
        <v>43558</v>
      </c>
      <c r="B76" t="s">
        <v>69</v>
      </c>
      <c r="C76" t="s">
        <v>65</v>
      </c>
      <c r="D76" t="s">
        <v>52</v>
      </c>
      <c r="E76">
        <v>2</v>
      </c>
      <c r="F76" s="2">
        <v>0.1938</v>
      </c>
      <c r="G76">
        <v>35.590000000000003</v>
      </c>
      <c r="H76">
        <v>35.35</v>
      </c>
    </row>
    <row r="77" spans="1:8" x14ac:dyDescent="0.3">
      <c r="A77" s="1">
        <v>43571</v>
      </c>
      <c r="B77" t="s">
        <v>74</v>
      </c>
      <c r="C77" t="s">
        <v>68</v>
      </c>
      <c r="D77" t="s">
        <v>56</v>
      </c>
      <c r="E77">
        <v>6</v>
      </c>
      <c r="F77" s="2">
        <v>8.7400000000000005E-2</v>
      </c>
      <c r="G77">
        <v>77.98</v>
      </c>
      <c r="H77">
        <v>79.16</v>
      </c>
    </row>
    <row r="78" spans="1:8" x14ac:dyDescent="0.3">
      <c r="A78" s="1">
        <v>43571</v>
      </c>
      <c r="B78" t="s">
        <v>67</v>
      </c>
      <c r="C78" t="s">
        <v>65</v>
      </c>
      <c r="D78" t="s">
        <v>52</v>
      </c>
      <c r="E78">
        <v>2</v>
      </c>
      <c r="F78" s="2">
        <v>0.18290000000000001</v>
      </c>
      <c r="G78">
        <v>55.77</v>
      </c>
      <c r="H78">
        <v>55.55</v>
      </c>
    </row>
    <row r="79" spans="1:8" x14ac:dyDescent="0.3">
      <c r="A79" s="1">
        <v>43595</v>
      </c>
      <c r="B79" t="s">
        <v>69</v>
      </c>
      <c r="C79" t="s">
        <v>68</v>
      </c>
      <c r="D79" t="s">
        <v>55</v>
      </c>
      <c r="E79">
        <v>6</v>
      </c>
      <c r="F79" s="2">
        <v>0.11890000000000001</v>
      </c>
      <c r="G79">
        <v>35.729999999999997</v>
      </c>
      <c r="H79">
        <v>35.020000000000003</v>
      </c>
    </row>
    <row r="80" spans="1:8" x14ac:dyDescent="0.3">
      <c r="A80" s="1">
        <v>43598</v>
      </c>
      <c r="B80" t="s">
        <v>67</v>
      </c>
      <c r="C80" t="s">
        <v>68</v>
      </c>
      <c r="D80" t="s">
        <v>54</v>
      </c>
      <c r="E80">
        <v>4</v>
      </c>
      <c r="F80" s="2">
        <v>0.1014</v>
      </c>
      <c r="G80">
        <v>53.3</v>
      </c>
      <c r="H80">
        <v>53.91</v>
      </c>
    </row>
    <row r="81" spans="1:8" x14ac:dyDescent="0.3">
      <c r="A81" s="1">
        <v>43608</v>
      </c>
      <c r="B81" t="s">
        <v>64</v>
      </c>
      <c r="C81" t="s">
        <v>65</v>
      </c>
      <c r="D81" t="s">
        <v>52</v>
      </c>
      <c r="E81">
        <v>1</v>
      </c>
      <c r="F81" s="2">
        <v>0.254</v>
      </c>
      <c r="G81">
        <v>23.94</v>
      </c>
      <c r="H81">
        <v>23.76</v>
      </c>
    </row>
    <row r="82" spans="1:8" x14ac:dyDescent="0.3">
      <c r="A82" s="1">
        <v>43623</v>
      </c>
      <c r="B82" t="s">
        <v>66</v>
      </c>
      <c r="C82" t="s">
        <v>65</v>
      </c>
      <c r="D82" t="s">
        <v>52</v>
      </c>
      <c r="E82">
        <v>3</v>
      </c>
      <c r="F82" s="2">
        <v>0.2099</v>
      </c>
      <c r="G82">
        <v>48.32</v>
      </c>
      <c r="H82">
        <v>48.03</v>
      </c>
    </row>
    <row r="83" spans="1:8" x14ac:dyDescent="0.3">
      <c r="A83" s="1">
        <v>43682</v>
      </c>
      <c r="B83" t="s">
        <v>66</v>
      </c>
      <c r="C83" t="s">
        <v>68</v>
      </c>
      <c r="D83" t="s">
        <v>54</v>
      </c>
      <c r="E83">
        <v>3</v>
      </c>
      <c r="F83" s="2">
        <v>0.107</v>
      </c>
      <c r="G83">
        <v>47.91</v>
      </c>
      <c r="H83">
        <v>48.88</v>
      </c>
    </row>
    <row r="84" spans="1:8" x14ac:dyDescent="0.3">
      <c r="A84" s="1">
        <v>43712</v>
      </c>
      <c r="B84" t="s">
        <v>66</v>
      </c>
      <c r="C84" t="s">
        <v>65</v>
      </c>
      <c r="D84" t="s">
        <v>52</v>
      </c>
      <c r="E84">
        <v>3</v>
      </c>
      <c r="F84" s="2">
        <v>0.1797</v>
      </c>
      <c r="G84">
        <v>51.18</v>
      </c>
      <c r="H84">
        <v>50.79</v>
      </c>
    </row>
    <row r="85" spans="1:8" x14ac:dyDescent="0.3">
      <c r="A85" s="1">
        <v>43763</v>
      </c>
      <c r="B85" t="s">
        <v>66</v>
      </c>
      <c r="C85" t="s">
        <v>68</v>
      </c>
      <c r="D85" t="s">
        <v>55</v>
      </c>
      <c r="E85">
        <v>8</v>
      </c>
      <c r="F85" s="2">
        <v>0.14760000000000001</v>
      </c>
      <c r="G85">
        <v>51.04</v>
      </c>
      <c r="H85">
        <v>49.95</v>
      </c>
    </row>
    <row r="86" spans="1:8" x14ac:dyDescent="0.3">
      <c r="A86" s="1">
        <v>43763</v>
      </c>
      <c r="B86" t="s">
        <v>69</v>
      </c>
      <c r="C86" t="s">
        <v>65</v>
      </c>
      <c r="D86" t="s">
        <v>52</v>
      </c>
      <c r="E86">
        <v>2</v>
      </c>
      <c r="F86" s="2">
        <v>0.25209999999999999</v>
      </c>
      <c r="G86">
        <v>39.15</v>
      </c>
      <c r="H86">
        <v>39.01</v>
      </c>
    </row>
    <row r="87" spans="1:8" x14ac:dyDescent="0.3">
      <c r="A87" s="1">
        <v>43773</v>
      </c>
      <c r="B87" t="s">
        <v>75</v>
      </c>
      <c r="C87" t="s">
        <v>68</v>
      </c>
      <c r="D87" t="s">
        <v>54</v>
      </c>
      <c r="E87">
        <v>1</v>
      </c>
      <c r="F87" s="2">
        <v>0.24340000000000001</v>
      </c>
      <c r="G87">
        <v>30.87</v>
      </c>
      <c r="H87">
        <v>30.89</v>
      </c>
    </row>
    <row r="88" spans="1:8" x14ac:dyDescent="0.3">
      <c r="A88" s="1">
        <v>43774</v>
      </c>
      <c r="B88" t="s">
        <v>64</v>
      </c>
      <c r="C88" t="s">
        <v>68</v>
      </c>
      <c r="D88" t="s">
        <v>54</v>
      </c>
      <c r="E88">
        <v>3</v>
      </c>
      <c r="F88" s="2">
        <v>0.21590000000000001</v>
      </c>
      <c r="G88">
        <v>25.41</v>
      </c>
      <c r="H88">
        <v>25.56</v>
      </c>
    </row>
    <row r="89" spans="1:8" x14ac:dyDescent="0.3">
      <c r="A89" s="1">
        <v>43796</v>
      </c>
      <c r="B89" t="s">
        <v>76</v>
      </c>
      <c r="C89" t="s">
        <v>65</v>
      </c>
      <c r="D89" t="s">
        <v>52</v>
      </c>
      <c r="E89">
        <v>2</v>
      </c>
      <c r="F89" s="2">
        <v>0.21010000000000001</v>
      </c>
      <c r="G89">
        <v>49.39</v>
      </c>
      <c r="H89">
        <v>49.06</v>
      </c>
    </row>
    <row r="90" spans="1:8" x14ac:dyDescent="0.3">
      <c r="A90" s="1">
        <v>43805</v>
      </c>
      <c r="B90" t="s">
        <v>72</v>
      </c>
      <c r="C90" t="s">
        <v>65</v>
      </c>
      <c r="D90" t="s">
        <v>52</v>
      </c>
      <c r="E90">
        <v>2</v>
      </c>
      <c r="F90" s="2">
        <v>0.2117</v>
      </c>
      <c r="G90">
        <v>26.77</v>
      </c>
      <c r="H90">
        <v>26.68</v>
      </c>
    </row>
    <row r="91" spans="1:8" x14ac:dyDescent="0.3">
      <c r="A91" s="1">
        <v>43845</v>
      </c>
      <c r="B91" t="s">
        <v>72</v>
      </c>
      <c r="C91" t="s">
        <v>68</v>
      </c>
      <c r="D91" t="s">
        <v>55</v>
      </c>
      <c r="E91">
        <v>6</v>
      </c>
      <c r="F91" s="2">
        <v>0.25750000000000001</v>
      </c>
      <c r="G91">
        <v>27.18</v>
      </c>
      <c r="H91">
        <v>27</v>
      </c>
    </row>
    <row r="92" spans="1:8" x14ac:dyDescent="0.3">
      <c r="A92" s="1">
        <v>43845</v>
      </c>
      <c r="B92" t="s">
        <v>64</v>
      </c>
      <c r="C92" t="s">
        <v>65</v>
      </c>
      <c r="D92" t="s">
        <v>52</v>
      </c>
      <c r="E92">
        <v>2</v>
      </c>
      <c r="F92" s="2">
        <v>0.29020000000000001</v>
      </c>
      <c r="G92">
        <v>26.95</v>
      </c>
      <c r="H92">
        <v>26.58</v>
      </c>
    </row>
    <row r="93" spans="1:8" x14ac:dyDescent="0.3">
      <c r="A93" s="1">
        <v>43866</v>
      </c>
      <c r="B93" t="s">
        <v>76</v>
      </c>
      <c r="C93" t="s">
        <v>68</v>
      </c>
      <c r="D93" t="s">
        <v>55</v>
      </c>
      <c r="E93">
        <v>6</v>
      </c>
      <c r="F93" s="2">
        <v>0.18720000000000001</v>
      </c>
      <c r="G93">
        <v>51.81</v>
      </c>
      <c r="H93">
        <v>50.48</v>
      </c>
    </row>
    <row r="94" spans="1:8" x14ac:dyDescent="0.3">
      <c r="A94" s="1">
        <v>43879</v>
      </c>
      <c r="B94" t="s">
        <v>76</v>
      </c>
      <c r="C94" t="s">
        <v>65</v>
      </c>
      <c r="D94" t="s">
        <v>52</v>
      </c>
      <c r="E94">
        <v>3</v>
      </c>
      <c r="F94" s="2">
        <v>0.252</v>
      </c>
      <c r="G94">
        <v>53.79</v>
      </c>
      <c r="H94">
        <v>53.57</v>
      </c>
    </row>
    <row r="95" spans="1:8" x14ac:dyDescent="0.3">
      <c r="A95" s="1">
        <v>43886</v>
      </c>
      <c r="B95" t="s">
        <v>69</v>
      </c>
      <c r="C95" t="s">
        <v>68</v>
      </c>
      <c r="D95" t="s">
        <v>54</v>
      </c>
      <c r="E95">
        <v>1</v>
      </c>
      <c r="F95" s="2">
        <v>0.31730000000000003</v>
      </c>
      <c r="G95">
        <v>43.72</v>
      </c>
      <c r="H95">
        <v>44.44</v>
      </c>
    </row>
    <row r="96" spans="1:8" x14ac:dyDescent="0.3">
      <c r="A96" s="1">
        <v>43886</v>
      </c>
      <c r="B96" t="s">
        <v>76</v>
      </c>
      <c r="C96" t="s">
        <v>68</v>
      </c>
      <c r="D96" t="s">
        <v>54</v>
      </c>
      <c r="E96">
        <v>5</v>
      </c>
      <c r="F96" s="2">
        <v>0.15459999999999999</v>
      </c>
      <c r="G96">
        <v>49.54</v>
      </c>
      <c r="H96">
        <v>50.48</v>
      </c>
    </row>
    <row r="97" spans="1:8" x14ac:dyDescent="0.3">
      <c r="A97" s="1">
        <v>43887</v>
      </c>
      <c r="B97" t="s">
        <v>64</v>
      </c>
      <c r="C97" t="s">
        <v>68</v>
      </c>
      <c r="D97" t="s">
        <v>54</v>
      </c>
      <c r="E97">
        <v>2</v>
      </c>
      <c r="F97" s="2">
        <v>0.2271</v>
      </c>
      <c r="G97">
        <v>27.55</v>
      </c>
      <c r="H97">
        <v>27.78</v>
      </c>
    </row>
    <row r="98" spans="1:8" x14ac:dyDescent="0.3">
      <c r="A98" s="1">
        <v>43929</v>
      </c>
      <c r="B98" t="s">
        <v>74</v>
      </c>
      <c r="C98" t="s">
        <v>65</v>
      </c>
      <c r="D98" t="s">
        <v>52</v>
      </c>
      <c r="E98">
        <v>3</v>
      </c>
      <c r="F98" s="2">
        <v>5.28E-2</v>
      </c>
      <c r="G98">
        <v>85.28</v>
      </c>
      <c r="H98">
        <v>84.83</v>
      </c>
    </row>
    <row r="99" spans="1:8" x14ac:dyDescent="0.3">
      <c r="A99" s="1">
        <v>43930</v>
      </c>
      <c r="B99" t="s">
        <v>64</v>
      </c>
      <c r="C99" t="s">
        <v>65</v>
      </c>
      <c r="D99" t="s">
        <v>52</v>
      </c>
      <c r="E99">
        <v>2</v>
      </c>
      <c r="F99" s="2">
        <v>9.0999999999999998E-2</v>
      </c>
      <c r="G99">
        <v>25.13</v>
      </c>
      <c r="H99">
        <v>24.19</v>
      </c>
    </row>
    <row r="100" spans="1:8" x14ac:dyDescent="0.3">
      <c r="A100" s="1">
        <v>43935</v>
      </c>
      <c r="B100" t="s">
        <v>69</v>
      </c>
      <c r="C100" t="s">
        <v>65</v>
      </c>
      <c r="D100" t="s">
        <v>52</v>
      </c>
      <c r="E100">
        <v>1</v>
      </c>
      <c r="F100" s="2">
        <v>0.1759</v>
      </c>
      <c r="G100">
        <v>42.37</v>
      </c>
      <c r="H100">
        <v>41.28</v>
      </c>
    </row>
    <row r="101" spans="1:8" x14ac:dyDescent="0.3">
      <c r="A101" s="1">
        <v>43957</v>
      </c>
      <c r="B101" t="s">
        <v>64</v>
      </c>
      <c r="C101" t="s">
        <v>68</v>
      </c>
      <c r="D101" t="s">
        <v>54</v>
      </c>
      <c r="E101">
        <v>5</v>
      </c>
      <c r="F101" s="2">
        <v>-1.9199999999999998E-2</v>
      </c>
      <c r="G101">
        <v>22.65</v>
      </c>
      <c r="H101">
        <v>22.7</v>
      </c>
    </row>
    <row r="102" spans="1:8" x14ac:dyDescent="0.3">
      <c r="A102" s="1">
        <v>43959</v>
      </c>
      <c r="B102" t="s">
        <v>76</v>
      </c>
      <c r="C102" t="s">
        <v>65</v>
      </c>
      <c r="D102" t="s">
        <v>52</v>
      </c>
      <c r="E102">
        <v>3</v>
      </c>
      <c r="F102" s="2">
        <v>6.9400000000000003E-2</v>
      </c>
      <c r="G102">
        <v>48.8</v>
      </c>
      <c r="H102">
        <v>48.11</v>
      </c>
    </row>
    <row r="103" spans="1:8" x14ac:dyDescent="0.3">
      <c r="A103" s="1">
        <v>43993</v>
      </c>
      <c r="B103" t="s">
        <v>74</v>
      </c>
      <c r="C103" t="s">
        <v>68</v>
      </c>
      <c r="D103" t="s">
        <v>54</v>
      </c>
      <c r="E103">
        <v>3</v>
      </c>
      <c r="F103" s="2">
        <v>8.4500000000000006E-2</v>
      </c>
      <c r="G103">
        <v>87.68</v>
      </c>
      <c r="H103">
        <v>88.22</v>
      </c>
    </row>
    <row r="104" spans="1:8" x14ac:dyDescent="0.3">
      <c r="A104" s="1">
        <v>44008</v>
      </c>
      <c r="B104" t="s">
        <v>76</v>
      </c>
      <c r="C104" t="s">
        <v>68</v>
      </c>
      <c r="D104" t="s">
        <v>54</v>
      </c>
      <c r="E104">
        <v>2</v>
      </c>
      <c r="F104" s="2">
        <v>8.6400000000000005E-2</v>
      </c>
      <c r="G104">
        <v>49.48</v>
      </c>
      <c r="H104">
        <v>49.98</v>
      </c>
    </row>
    <row r="105" spans="1:8" x14ac:dyDescent="0.3">
      <c r="A105" s="1">
        <v>44022</v>
      </c>
      <c r="B105" t="s">
        <v>76</v>
      </c>
      <c r="C105" t="s">
        <v>65</v>
      </c>
      <c r="D105" t="s">
        <v>52</v>
      </c>
      <c r="E105">
        <v>2</v>
      </c>
      <c r="F105" s="2">
        <v>0.1449</v>
      </c>
      <c r="G105">
        <v>54.41</v>
      </c>
      <c r="H105">
        <v>53.73</v>
      </c>
    </row>
    <row r="106" spans="1:8" x14ac:dyDescent="0.3">
      <c r="A106" s="1">
        <v>44027</v>
      </c>
      <c r="B106" t="s">
        <v>74</v>
      </c>
      <c r="C106" t="s">
        <v>65</v>
      </c>
      <c r="D106" t="s">
        <v>52</v>
      </c>
      <c r="E106">
        <v>2</v>
      </c>
      <c r="F106" s="2">
        <v>0.16239999999999999</v>
      </c>
      <c r="G106">
        <v>95.01</v>
      </c>
      <c r="H106">
        <v>93.95</v>
      </c>
    </row>
    <row r="107" spans="1:8" x14ac:dyDescent="0.3">
      <c r="A107" s="1">
        <v>44082</v>
      </c>
      <c r="B107" t="s">
        <v>74</v>
      </c>
      <c r="C107" t="s">
        <v>68</v>
      </c>
      <c r="D107" t="s">
        <v>54</v>
      </c>
      <c r="E107">
        <v>4</v>
      </c>
      <c r="F107" s="2">
        <v>0.17730000000000001</v>
      </c>
      <c r="G107">
        <v>94.4</v>
      </c>
      <c r="H107">
        <v>94.81</v>
      </c>
    </row>
    <row r="108" spans="1:8" x14ac:dyDescent="0.3">
      <c r="A108" s="1">
        <v>44112</v>
      </c>
      <c r="B108" t="s">
        <v>67</v>
      </c>
      <c r="C108" t="s">
        <v>65</v>
      </c>
      <c r="D108" t="s">
        <v>52</v>
      </c>
      <c r="E108">
        <v>2</v>
      </c>
      <c r="F108" s="2">
        <v>0.2979</v>
      </c>
      <c r="G108">
        <v>72.489999999999995</v>
      </c>
      <c r="H108">
        <v>72.180000000000007</v>
      </c>
    </row>
    <row r="109" spans="1:8" x14ac:dyDescent="0.3">
      <c r="A109" s="1">
        <v>44132</v>
      </c>
      <c r="B109" t="s">
        <v>69</v>
      </c>
      <c r="C109" t="s">
        <v>68</v>
      </c>
      <c r="D109" t="s">
        <v>54</v>
      </c>
      <c r="E109">
        <v>1</v>
      </c>
      <c r="F109" s="2">
        <v>0.35820000000000002</v>
      </c>
      <c r="G109">
        <v>53.37</v>
      </c>
      <c r="H109">
        <v>54.76</v>
      </c>
    </row>
    <row r="110" spans="1:8" x14ac:dyDescent="0.3">
      <c r="A110" s="1">
        <v>44132</v>
      </c>
      <c r="B110" t="s">
        <v>67</v>
      </c>
      <c r="C110" t="s">
        <v>68</v>
      </c>
      <c r="D110" t="s">
        <v>54</v>
      </c>
      <c r="E110">
        <v>2</v>
      </c>
      <c r="F110" s="2">
        <v>0.21809999999999999</v>
      </c>
      <c r="G110">
        <v>69.349999999999994</v>
      </c>
      <c r="H110">
        <v>69.739999999999995</v>
      </c>
    </row>
    <row r="111" spans="1:8" x14ac:dyDescent="0.3">
      <c r="A111" s="1">
        <v>44181</v>
      </c>
      <c r="B111" t="s">
        <v>69</v>
      </c>
      <c r="C111" t="s">
        <v>65</v>
      </c>
      <c r="D111" t="s">
        <v>52</v>
      </c>
      <c r="E111">
        <v>1</v>
      </c>
      <c r="F111" s="2">
        <v>0.43669999999999998</v>
      </c>
      <c r="G111">
        <v>61.11</v>
      </c>
      <c r="H111">
        <v>60.88</v>
      </c>
    </row>
    <row r="112" spans="1:8" x14ac:dyDescent="0.3">
      <c r="A112" s="1">
        <v>44181</v>
      </c>
      <c r="B112" t="s">
        <v>67</v>
      </c>
      <c r="C112" t="s">
        <v>65</v>
      </c>
      <c r="D112" t="s">
        <v>52</v>
      </c>
      <c r="E112">
        <v>2</v>
      </c>
      <c r="F112" s="2">
        <v>0.30130000000000001</v>
      </c>
      <c r="G112">
        <v>76.239999999999995</v>
      </c>
      <c r="H112">
        <v>75.989999999999995</v>
      </c>
    </row>
    <row r="113" spans="1:8" x14ac:dyDescent="0.3">
      <c r="A113" s="1">
        <v>44208</v>
      </c>
      <c r="B113" t="s">
        <v>76</v>
      </c>
      <c r="C113" t="s">
        <v>68</v>
      </c>
      <c r="D113" t="s">
        <v>54</v>
      </c>
      <c r="E113">
        <v>4</v>
      </c>
      <c r="F113" s="2">
        <v>0.18140000000000001</v>
      </c>
      <c r="G113">
        <v>61.73</v>
      </c>
      <c r="H113">
        <v>61.91</v>
      </c>
    </row>
    <row r="114" spans="1:8" x14ac:dyDescent="0.3">
      <c r="A114" s="1">
        <v>44222</v>
      </c>
      <c r="B114" t="s">
        <v>76</v>
      </c>
      <c r="C114" t="s">
        <v>65</v>
      </c>
      <c r="D114" t="s">
        <v>52</v>
      </c>
      <c r="E114">
        <v>3</v>
      </c>
      <c r="F114" s="2">
        <v>0.29120000000000001</v>
      </c>
      <c r="G114">
        <v>66.42</v>
      </c>
      <c r="H114">
        <v>65.88</v>
      </c>
    </row>
    <row r="115" spans="1:8" x14ac:dyDescent="0.3">
      <c r="A115" s="1">
        <v>44259</v>
      </c>
      <c r="B115" t="s">
        <v>69</v>
      </c>
      <c r="C115" t="s">
        <v>68</v>
      </c>
      <c r="D115" t="s">
        <v>54</v>
      </c>
      <c r="E115">
        <v>2</v>
      </c>
      <c r="F115" s="2">
        <v>0.3664</v>
      </c>
      <c r="G115">
        <v>60.71</v>
      </c>
      <c r="H115">
        <v>61.69</v>
      </c>
    </row>
    <row r="116" spans="1:8" x14ac:dyDescent="0.3">
      <c r="A116" s="1">
        <v>44259</v>
      </c>
      <c r="B116" t="s">
        <v>67</v>
      </c>
      <c r="C116" t="s">
        <v>68</v>
      </c>
      <c r="D116" t="s">
        <v>54</v>
      </c>
      <c r="E116">
        <v>4</v>
      </c>
      <c r="F116" s="2">
        <v>0.30280000000000001</v>
      </c>
      <c r="G116">
        <v>74.540000000000006</v>
      </c>
      <c r="H116">
        <v>76.06</v>
      </c>
    </row>
    <row r="117" spans="1:8" x14ac:dyDescent="0.3">
      <c r="A117" s="1">
        <v>44265</v>
      </c>
      <c r="B117" t="s">
        <v>70</v>
      </c>
      <c r="C117" t="s">
        <v>65</v>
      </c>
      <c r="D117" t="s">
        <v>52</v>
      </c>
      <c r="E117">
        <v>2</v>
      </c>
      <c r="F117" s="2">
        <v>0.58020000000000005</v>
      </c>
      <c r="G117">
        <v>35.049999999999997</v>
      </c>
      <c r="H117">
        <v>34.78</v>
      </c>
    </row>
    <row r="118" spans="1:8" x14ac:dyDescent="0.3">
      <c r="A118" s="1">
        <v>44273</v>
      </c>
      <c r="B118" t="s">
        <v>76</v>
      </c>
      <c r="C118" t="s">
        <v>68</v>
      </c>
      <c r="D118" t="s">
        <v>55</v>
      </c>
      <c r="E118">
        <v>6</v>
      </c>
      <c r="F118" s="2">
        <v>0.82389999999999997</v>
      </c>
      <c r="G118">
        <v>70.760000000000005</v>
      </c>
      <c r="H118">
        <v>66.73</v>
      </c>
    </row>
    <row r="119" spans="1:8" x14ac:dyDescent="0.3">
      <c r="A119" s="1">
        <v>44291</v>
      </c>
      <c r="B119" t="s">
        <v>67</v>
      </c>
      <c r="C119" t="s">
        <v>65</v>
      </c>
      <c r="D119" t="s">
        <v>52</v>
      </c>
      <c r="E119">
        <v>2</v>
      </c>
      <c r="F119" s="2">
        <v>0.8569</v>
      </c>
      <c r="G119">
        <v>83.02</v>
      </c>
      <c r="H119">
        <v>81.42</v>
      </c>
    </row>
    <row r="120" spans="1:8" x14ac:dyDescent="0.3">
      <c r="A120" s="1">
        <v>44293</v>
      </c>
      <c r="B120" t="s">
        <v>76</v>
      </c>
      <c r="C120" t="s">
        <v>65</v>
      </c>
      <c r="D120" t="s">
        <v>52</v>
      </c>
      <c r="E120">
        <v>3</v>
      </c>
      <c r="F120" s="2">
        <v>0.72509999999999997</v>
      </c>
      <c r="G120">
        <v>72.94</v>
      </c>
      <c r="H120">
        <v>72.599999999999994</v>
      </c>
    </row>
    <row r="121" spans="1:8" x14ac:dyDescent="0.3">
      <c r="A121" s="1">
        <v>44301</v>
      </c>
      <c r="B121" t="s">
        <v>76</v>
      </c>
      <c r="C121" t="s">
        <v>68</v>
      </c>
      <c r="D121" t="s">
        <v>55</v>
      </c>
      <c r="E121">
        <v>6</v>
      </c>
      <c r="F121" s="2">
        <v>0.62849999999999995</v>
      </c>
      <c r="G121">
        <v>72.900000000000006</v>
      </c>
      <c r="H121">
        <v>67.34</v>
      </c>
    </row>
    <row r="122" spans="1:8" x14ac:dyDescent="0.3">
      <c r="A122" s="1">
        <v>44301</v>
      </c>
      <c r="B122" t="s">
        <v>69</v>
      </c>
      <c r="C122" t="s">
        <v>65</v>
      </c>
      <c r="D122" t="s">
        <v>52</v>
      </c>
      <c r="E122">
        <v>3</v>
      </c>
      <c r="F122" s="2">
        <v>0.66249999999999998</v>
      </c>
      <c r="G122">
        <v>68.900000000000006</v>
      </c>
      <c r="H122">
        <v>68.510000000000005</v>
      </c>
    </row>
    <row r="123" spans="1:8" x14ac:dyDescent="0.3">
      <c r="A123" s="1">
        <v>44302</v>
      </c>
      <c r="B123" t="s">
        <v>69</v>
      </c>
      <c r="C123" t="s">
        <v>68</v>
      </c>
      <c r="D123" t="s">
        <v>55</v>
      </c>
      <c r="E123">
        <v>6</v>
      </c>
      <c r="F123" s="2">
        <v>0.6421</v>
      </c>
      <c r="G123">
        <v>68.88</v>
      </c>
      <c r="H123">
        <v>61.39</v>
      </c>
    </row>
    <row r="124" spans="1:8" x14ac:dyDescent="0.3">
      <c r="A124" s="1">
        <v>44305</v>
      </c>
      <c r="B124" t="s">
        <v>67</v>
      </c>
      <c r="C124" t="s">
        <v>68</v>
      </c>
      <c r="D124" t="s">
        <v>55</v>
      </c>
      <c r="E124">
        <v>6</v>
      </c>
      <c r="F124" s="2">
        <v>0.58740000000000003</v>
      </c>
      <c r="G124">
        <v>85.21</v>
      </c>
      <c r="H124">
        <v>77.31</v>
      </c>
    </row>
    <row r="125" spans="1:8" x14ac:dyDescent="0.3">
      <c r="A125" s="1">
        <v>44315</v>
      </c>
      <c r="B125" t="s">
        <v>72</v>
      </c>
      <c r="C125" t="s">
        <v>65</v>
      </c>
      <c r="D125" t="s">
        <v>52</v>
      </c>
      <c r="E125">
        <v>2</v>
      </c>
      <c r="F125" s="2">
        <v>0.5988</v>
      </c>
      <c r="G125">
        <v>33.409999999999997</v>
      </c>
      <c r="H125">
        <v>32.92</v>
      </c>
    </row>
    <row r="126" spans="1:8" x14ac:dyDescent="0.3">
      <c r="A126" s="1">
        <v>44323</v>
      </c>
      <c r="B126" t="s">
        <v>71</v>
      </c>
      <c r="C126" t="s">
        <v>65</v>
      </c>
      <c r="D126" t="s">
        <v>52</v>
      </c>
      <c r="E126">
        <v>3</v>
      </c>
      <c r="F126" s="2">
        <v>0.73750000000000004</v>
      </c>
      <c r="G126">
        <v>97.38</v>
      </c>
      <c r="H126">
        <v>96.39</v>
      </c>
    </row>
    <row r="127" spans="1:8" x14ac:dyDescent="0.3">
      <c r="A127" s="1">
        <v>44361</v>
      </c>
      <c r="B127" t="s">
        <v>70</v>
      </c>
      <c r="C127" t="s">
        <v>68</v>
      </c>
      <c r="D127" t="s">
        <v>54</v>
      </c>
      <c r="E127">
        <v>2</v>
      </c>
      <c r="F127" s="2">
        <v>0.57569999999999999</v>
      </c>
      <c r="G127">
        <v>38.35</v>
      </c>
      <c r="H127">
        <v>38.5</v>
      </c>
    </row>
    <row r="128" spans="1:8" x14ac:dyDescent="0.3">
      <c r="A128" s="1">
        <v>44364</v>
      </c>
      <c r="B128" t="s">
        <v>72</v>
      </c>
      <c r="C128" t="s">
        <v>68</v>
      </c>
      <c r="D128" t="s">
        <v>54</v>
      </c>
      <c r="E128">
        <v>1</v>
      </c>
      <c r="F128" s="2">
        <v>0.5262</v>
      </c>
      <c r="G128">
        <v>32.97</v>
      </c>
      <c r="H128">
        <v>33.42</v>
      </c>
    </row>
    <row r="129" spans="1:8" x14ac:dyDescent="0.3">
      <c r="A129" s="1">
        <v>44365</v>
      </c>
      <c r="B129" t="s">
        <v>71</v>
      </c>
      <c r="C129" t="s">
        <v>68</v>
      </c>
      <c r="D129" t="s">
        <v>54</v>
      </c>
      <c r="E129">
        <v>3</v>
      </c>
      <c r="F129" s="2">
        <v>0.44340000000000002</v>
      </c>
      <c r="G129">
        <v>92.07</v>
      </c>
      <c r="H129">
        <v>92.41</v>
      </c>
    </row>
    <row r="130" spans="1:8" x14ac:dyDescent="0.3">
      <c r="A130" s="1">
        <v>44375</v>
      </c>
      <c r="B130" t="s">
        <v>76</v>
      </c>
      <c r="C130" t="s">
        <v>65</v>
      </c>
      <c r="D130" t="s">
        <v>52</v>
      </c>
      <c r="E130">
        <v>2</v>
      </c>
      <c r="F130" s="2">
        <v>0.56579999999999997</v>
      </c>
      <c r="G130">
        <v>77.47</v>
      </c>
      <c r="H130">
        <v>76.69</v>
      </c>
    </row>
    <row r="131" spans="1:8" x14ac:dyDescent="0.3">
      <c r="A131" s="1">
        <v>44400</v>
      </c>
      <c r="B131" t="s">
        <v>69</v>
      </c>
      <c r="C131" t="s">
        <v>65</v>
      </c>
      <c r="D131" t="s">
        <v>52</v>
      </c>
      <c r="E131">
        <v>3</v>
      </c>
      <c r="F131" s="2">
        <v>0.46339999999999998</v>
      </c>
      <c r="G131">
        <v>74.41</v>
      </c>
      <c r="H131">
        <v>74.09</v>
      </c>
    </row>
    <row r="132" spans="1:8" x14ac:dyDescent="0.3">
      <c r="A132" s="1">
        <v>44410</v>
      </c>
      <c r="B132" t="s">
        <v>69</v>
      </c>
      <c r="C132" t="s">
        <v>68</v>
      </c>
      <c r="D132" t="s">
        <v>55</v>
      </c>
      <c r="E132">
        <v>6</v>
      </c>
      <c r="F132" s="2">
        <v>0.39589999999999997</v>
      </c>
      <c r="G132">
        <v>73.61</v>
      </c>
      <c r="H132">
        <v>70.97</v>
      </c>
    </row>
    <row r="133" spans="1:8" x14ac:dyDescent="0.3">
      <c r="A133" s="1">
        <v>44414</v>
      </c>
      <c r="B133" t="s">
        <v>72</v>
      </c>
      <c r="C133" t="s">
        <v>65</v>
      </c>
      <c r="D133" t="s">
        <v>52</v>
      </c>
      <c r="E133">
        <v>1</v>
      </c>
      <c r="F133" s="2">
        <v>0.58689999999999998</v>
      </c>
      <c r="G133">
        <v>34.72</v>
      </c>
      <c r="H133">
        <v>34.1</v>
      </c>
    </row>
    <row r="134" spans="1:8" x14ac:dyDescent="0.3">
      <c r="A134" s="1">
        <v>44418</v>
      </c>
      <c r="B134" t="s">
        <v>70</v>
      </c>
      <c r="C134" t="s">
        <v>65</v>
      </c>
      <c r="D134" t="s">
        <v>52</v>
      </c>
      <c r="E134">
        <v>3</v>
      </c>
      <c r="F134" s="2">
        <v>0.39429999999999998</v>
      </c>
      <c r="G134">
        <v>38.630000000000003</v>
      </c>
      <c r="H134">
        <v>38.450000000000003</v>
      </c>
    </row>
    <row r="135" spans="1:8" x14ac:dyDescent="0.3">
      <c r="A135" s="1">
        <v>44434</v>
      </c>
      <c r="B135" t="s">
        <v>76</v>
      </c>
      <c r="C135" t="s">
        <v>68</v>
      </c>
      <c r="D135" t="s">
        <v>55</v>
      </c>
      <c r="E135">
        <v>6</v>
      </c>
      <c r="F135" s="2">
        <v>0.30869999999999997</v>
      </c>
      <c r="G135">
        <v>79.22</v>
      </c>
      <c r="H135">
        <v>76.849999999999994</v>
      </c>
    </row>
    <row r="136" spans="1:8" x14ac:dyDescent="0.3">
      <c r="A136" s="1">
        <v>44440</v>
      </c>
      <c r="B136" t="s">
        <v>70</v>
      </c>
      <c r="C136" t="s">
        <v>68</v>
      </c>
      <c r="D136" t="s">
        <v>55</v>
      </c>
      <c r="E136">
        <v>6</v>
      </c>
      <c r="F136" s="2">
        <v>0.34279999999999999</v>
      </c>
      <c r="G136">
        <v>38.67</v>
      </c>
      <c r="H136">
        <v>37.51</v>
      </c>
    </row>
    <row r="137" spans="1:8" x14ac:dyDescent="0.3">
      <c r="A137" s="1">
        <v>44440</v>
      </c>
      <c r="B137" t="s">
        <v>75</v>
      </c>
      <c r="C137" t="s">
        <v>65</v>
      </c>
      <c r="D137" t="s">
        <v>52</v>
      </c>
      <c r="E137">
        <v>3</v>
      </c>
      <c r="F137" s="2">
        <v>0.38819999999999999</v>
      </c>
      <c r="G137">
        <v>41.03</v>
      </c>
      <c r="H137">
        <v>40.39</v>
      </c>
    </row>
    <row r="138" spans="1:8" x14ac:dyDescent="0.3">
      <c r="A138" s="1">
        <v>44454</v>
      </c>
      <c r="B138" t="s">
        <v>73</v>
      </c>
      <c r="C138" t="s">
        <v>65</v>
      </c>
      <c r="D138" t="s">
        <v>52</v>
      </c>
      <c r="E138">
        <v>1</v>
      </c>
      <c r="F138" s="2">
        <v>0.61980000000000002</v>
      </c>
      <c r="G138">
        <v>20.95</v>
      </c>
      <c r="H138">
        <v>20.71</v>
      </c>
    </row>
    <row r="139" spans="1:8" x14ac:dyDescent="0.3">
      <c r="A139" s="1">
        <v>44459</v>
      </c>
      <c r="B139" t="s">
        <v>72</v>
      </c>
      <c r="C139" t="s">
        <v>68</v>
      </c>
      <c r="D139" t="s">
        <v>54</v>
      </c>
      <c r="E139">
        <v>1</v>
      </c>
      <c r="F139" s="2">
        <v>0.51619999999999999</v>
      </c>
      <c r="G139">
        <v>33.659999999999997</v>
      </c>
      <c r="H139">
        <v>34.22</v>
      </c>
    </row>
    <row r="140" spans="1:8" x14ac:dyDescent="0.3">
      <c r="A140" s="1">
        <v>44466</v>
      </c>
      <c r="B140" t="s">
        <v>75</v>
      </c>
      <c r="C140" t="s">
        <v>68</v>
      </c>
      <c r="D140" t="s">
        <v>54</v>
      </c>
      <c r="E140">
        <v>5</v>
      </c>
      <c r="F140" s="2">
        <v>0.34849999999999998</v>
      </c>
      <c r="G140">
        <v>38.409999999999997</v>
      </c>
      <c r="H140">
        <v>38.9</v>
      </c>
    </row>
    <row r="141" spans="1:8" x14ac:dyDescent="0.3">
      <c r="A141" s="1">
        <v>44488</v>
      </c>
      <c r="B141" t="s">
        <v>72</v>
      </c>
      <c r="C141" t="s">
        <v>65</v>
      </c>
      <c r="D141" t="s">
        <v>52</v>
      </c>
      <c r="E141">
        <v>2</v>
      </c>
      <c r="F141" s="2">
        <v>0.6512</v>
      </c>
      <c r="G141">
        <v>36.75</v>
      </c>
      <c r="H141">
        <v>36.61</v>
      </c>
    </row>
    <row r="142" spans="1:8" x14ac:dyDescent="0.3">
      <c r="A142" s="1">
        <v>44491</v>
      </c>
      <c r="B142" t="s">
        <v>75</v>
      </c>
      <c r="C142" t="s">
        <v>65</v>
      </c>
      <c r="D142" t="s">
        <v>52</v>
      </c>
      <c r="E142">
        <v>3</v>
      </c>
      <c r="F142" s="2">
        <v>0.39489999999999997</v>
      </c>
      <c r="G142">
        <v>40.57</v>
      </c>
      <c r="H142">
        <v>40.32</v>
      </c>
    </row>
    <row r="143" spans="1:8" x14ac:dyDescent="0.3">
      <c r="A143" s="1">
        <v>44517</v>
      </c>
      <c r="B143" t="s">
        <v>72</v>
      </c>
      <c r="C143" t="s">
        <v>68</v>
      </c>
      <c r="D143" t="s">
        <v>54</v>
      </c>
      <c r="E143">
        <v>2</v>
      </c>
      <c r="F143" s="2">
        <v>0.46329999999999999</v>
      </c>
      <c r="G143">
        <v>36.520000000000003</v>
      </c>
      <c r="H143">
        <v>36.549999999999997</v>
      </c>
    </row>
    <row r="144" spans="1:8" x14ac:dyDescent="0.3">
      <c r="A144" s="1">
        <v>44518</v>
      </c>
      <c r="B144" t="s">
        <v>73</v>
      </c>
      <c r="C144" t="s">
        <v>68</v>
      </c>
      <c r="D144" t="s">
        <v>54</v>
      </c>
      <c r="E144">
        <v>1</v>
      </c>
      <c r="F144" s="2">
        <v>0.68189999999999995</v>
      </c>
      <c r="G144">
        <v>24</v>
      </c>
      <c r="H144">
        <v>24.02</v>
      </c>
    </row>
    <row r="145" spans="1:8" x14ac:dyDescent="0.3">
      <c r="A145" s="1">
        <v>44518</v>
      </c>
      <c r="B145" t="s">
        <v>69</v>
      </c>
      <c r="C145" t="s">
        <v>65</v>
      </c>
      <c r="D145" t="s">
        <v>52</v>
      </c>
      <c r="E145">
        <v>3</v>
      </c>
      <c r="F145" s="2">
        <v>0.42399999999999999</v>
      </c>
      <c r="G145">
        <v>82.05</v>
      </c>
      <c r="H145">
        <v>81.75</v>
      </c>
    </row>
    <row r="146" spans="1:8" x14ac:dyDescent="0.3">
      <c r="A146" s="1">
        <v>44531</v>
      </c>
      <c r="B146" t="s">
        <v>75</v>
      </c>
      <c r="C146" t="s">
        <v>68</v>
      </c>
      <c r="D146" t="s">
        <v>54</v>
      </c>
      <c r="E146">
        <v>4</v>
      </c>
      <c r="F146" s="2">
        <v>0.31030000000000002</v>
      </c>
      <c r="G146">
        <v>39.79</v>
      </c>
      <c r="H146">
        <v>40.299999999999997</v>
      </c>
    </row>
    <row r="147" spans="1:8" x14ac:dyDescent="0.3">
      <c r="A147" s="1">
        <v>44537</v>
      </c>
      <c r="B147" t="s">
        <v>75</v>
      </c>
      <c r="C147" t="s">
        <v>65</v>
      </c>
      <c r="D147" t="s">
        <v>52</v>
      </c>
      <c r="E147">
        <v>3</v>
      </c>
      <c r="F147" s="2">
        <v>0.38279999999999997</v>
      </c>
      <c r="G147">
        <v>41.99</v>
      </c>
      <c r="H147">
        <v>41.85</v>
      </c>
    </row>
    <row r="148" spans="1:8" x14ac:dyDescent="0.3">
      <c r="A148" s="1">
        <v>44565</v>
      </c>
      <c r="B148" t="s">
        <v>73</v>
      </c>
      <c r="C148" t="s">
        <v>65</v>
      </c>
      <c r="D148" t="s">
        <v>52</v>
      </c>
      <c r="E148">
        <v>1</v>
      </c>
      <c r="F148" s="2">
        <v>0.56240000000000001</v>
      </c>
      <c r="G148">
        <v>25.3</v>
      </c>
      <c r="H148">
        <v>24.49</v>
      </c>
    </row>
    <row r="149" spans="1:8" x14ac:dyDescent="0.3">
      <c r="A149" s="1">
        <v>44580</v>
      </c>
      <c r="B149" t="s">
        <v>69</v>
      </c>
      <c r="C149" t="s">
        <v>68</v>
      </c>
      <c r="D149" t="s">
        <v>54</v>
      </c>
      <c r="E149">
        <v>4</v>
      </c>
      <c r="F149" s="2">
        <v>0.221</v>
      </c>
      <c r="G149">
        <v>77.099999999999994</v>
      </c>
      <c r="H149">
        <v>77.959999999999994</v>
      </c>
    </row>
    <row r="150" spans="1:8" x14ac:dyDescent="0.3">
      <c r="A150" s="1">
        <v>44580</v>
      </c>
      <c r="B150" t="s">
        <v>75</v>
      </c>
      <c r="C150" t="s">
        <v>68</v>
      </c>
      <c r="D150" t="s">
        <v>54</v>
      </c>
      <c r="E150">
        <v>2</v>
      </c>
      <c r="F150" s="2">
        <v>0.32450000000000001</v>
      </c>
      <c r="G150">
        <v>40.619999999999997</v>
      </c>
      <c r="H150">
        <v>40.74</v>
      </c>
    </row>
    <row r="151" spans="1:8" x14ac:dyDescent="0.3">
      <c r="A151" s="1">
        <v>44624</v>
      </c>
      <c r="B151" t="s">
        <v>64</v>
      </c>
      <c r="C151" t="s">
        <v>65</v>
      </c>
      <c r="D151" t="s">
        <v>52</v>
      </c>
      <c r="E151">
        <v>3</v>
      </c>
      <c r="F151" s="2">
        <v>0.22470000000000001</v>
      </c>
      <c r="G151">
        <v>30.97</v>
      </c>
      <c r="H151">
        <v>30.45</v>
      </c>
    </row>
    <row r="152" spans="1:8" x14ac:dyDescent="0.3">
      <c r="A152" s="1">
        <v>44636</v>
      </c>
      <c r="B152" t="s">
        <v>74</v>
      </c>
      <c r="C152" t="s">
        <v>65</v>
      </c>
      <c r="D152" t="s">
        <v>52</v>
      </c>
      <c r="E152">
        <v>3</v>
      </c>
      <c r="F152" s="2">
        <v>0.18379999999999999</v>
      </c>
      <c r="G152">
        <v>124.51</v>
      </c>
      <c r="H152">
        <v>123.22</v>
      </c>
    </row>
    <row r="153" spans="1:8" x14ac:dyDescent="0.3">
      <c r="A153" s="1">
        <v>44642</v>
      </c>
      <c r="B153" t="s">
        <v>64</v>
      </c>
      <c r="C153" t="s">
        <v>68</v>
      </c>
      <c r="D153" t="s">
        <v>55</v>
      </c>
      <c r="E153">
        <v>6</v>
      </c>
      <c r="F153" s="2">
        <v>0.16750000000000001</v>
      </c>
      <c r="G153">
        <v>31.18</v>
      </c>
      <c r="H153">
        <v>28.08</v>
      </c>
    </row>
    <row r="154" spans="1:8" x14ac:dyDescent="0.3">
      <c r="A154" s="1">
        <v>44642</v>
      </c>
      <c r="B154" t="s">
        <v>72</v>
      </c>
      <c r="C154" t="s">
        <v>65</v>
      </c>
      <c r="D154" t="s">
        <v>52</v>
      </c>
      <c r="E154">
        <v>3</v>
      </c>
      <c r="F154" s="2">
        <v>0.2097</v>
      </c>
      <c r="G154">
        <v>36.64</v>
      </c>
      <c r="H154">
        <v>36.49</v>
      </c>
    </row>
    <row r="155" spans="1:8" x14ac:dyDescent="0.3">
      <c r="A155" s="1">
        <v>44645</v>
      </c>
      <c r="B155" t="s">
        <v>72</v>
      </c>
      <c r="C155" t="s">
        <v>68</v>
      </c>
      <c r="D155" t="s">
        <v>55</v>
      </c>
      <c r="E155">
        <v>6</v>
      </c>
      <c r="F155" s="2">
        <v>0.16950000000000001</v>
      </c>
      <c r="G155">
        <v>36.71</v>
      </c>
      <c r="H155">
        <v>32.840000000000003</v>
      </c>
    </row>
    <row r="156" spans="1:8" x14ac:dyDescent="0.3">
      <c r="A156" s="1">
        <v>44648</v>
      </c>
      <c r="B156" t="s">
        <v>75</v>
      </c>
      <c r="C156" t="s">
        <v>65</v>
      </c>
      <c r="D156" t="s">
        <v>52</v>
      </c>
      <c r="E156">
        <v>2</v>
      </c>
      <c r="F156" s="2">
        <v>0.2306</v>
      </c>
      <c r="G156">
        <v>41.19</v>
      </c>
      <c r="H156">
        <v>40.75</v>
      </c>
    </row>
    <row r="157" spans="1:8" x14ac:dyDescent="0.3">
      <c r="A157" s="1">
        <v>44673</v>
      </c>
      <c r="B157" t="s">
        <v>74</v>
      </c>
      <c r="C157" t="s">
        <v>68</v>
      </c>
      <c r="D157" t="s">
        <v>54</v>
      </c>
      <c r="E157">
        <v>5</v>
      </c>
      <c r="F157" s="2">
        <v>9.64E-2</v>
      </c>
      <c r="G157">
        <v>124.56</v>
      </c>
      <c r="H157">
        <v>125.1</v>
      </c>
    </row>
    <row r="158" spans="1:8" x14ac:dyDescent="0.3">
      <c r="A158" s="1">
        <v>44676</v>
      </c>
      <c r="B158" t="s">
        <v>73</v>
      </c>
      <c r="C158" t="s">
        <v>68</v>
      </c>
      <c r="D158" t="s">
        <v>54</v>
      </c>
      <c r="E158">
        <v>1</v>
      </c>
      <c r="F158" s="2">
        <v>0.60980000000000001</v>
      </c>
      <c r="G158">
        <v>31.79</v>
      </c>
      <c r="H158">
        <v>32.01</v>
      </c>
    </row>
    <row r="159" spans="1:8" x14ac:dyDescent="0.3">
      <c r="A159" s="1">
        <v>44678</v>
      </c>
      <c r="B159" t="s">
        <v>75</v>
      </c>
      <c r="C159" t="s">
        <v>68</v>
      </c>
      <c r="D159" t="s">
        <v>54</v>
      </c>
      <c r="E159">
        <v>3</v>
      </c>
      <c r="F159" s="2">
        <v>0.17019999999999999</v>
      </c>
      <c r="G159">
        <v>41.49</v>
      </c>
      <c r="H159">
        <v>41.5</v>
      </c>
    </row>
    <row r="160" spans="1:8" x14ac:dyDescent="0.3">
      <c r="A160" s="1">
        <v>44687</v>
      </c>
      <c r="B160" t="s">
        <v>73</v>
      </c>
      <c r="C160" t="s">
        <v>65</v>
      </c>
      <c r="D160" t="s">
        <v>52</v>
      </c>
      <c r="E160">
        <v>1</v>
      </c>
      <c r="F160" s="2">
        <v>0.61670000000000003</v>
      </c>
      <c r="G160">
        <v>35.770000000000003</v>
      </c>
      <c r="H160">
        <v>35.549999999999997</v>
      </c>
    </row>
    <row r="161" spans="1:8" x14ac:dyDescent="0.3">
      <c r="A161" s="1">
        <v>44708</v>
      </c>
      <c r="B161" t="s">
        <v>64</v>
      </c>
      <c r="C161" t="s">
        <v>65</v>
      </c>
      <c r="D161" t="s">
        <v>52</v>
      </c>
      <c r="E161">
        <v>2</v>
      </c>
      <c r="F161" s="2">
        <v>0.19159999999999999</v>
      </c>
      <c r="G161">
        <v>33.14</v>
      </c>
      <c r="H161">
        <v>32.869999999999997</v>
      </c>
    </row>
    <row r="162" spans="1:8" x14ac:dyDescent="0.3">
      <c r="A162" s="1">
        <v>44708</v>
      </c>
      <c r="B162" t="s">
        <v>74</v>
      </c>
      <c r="C162" t="s">
        <v>65</v>
      </c>
      <c r="D162" t="s">
        <v>52</v>
      </c>
      <c r="E162">
        <v>3</v>
      </c>
      <c r="F162" s="2">
        <v>0.1</v>
      </c>
      <c r="G162">
        <v>124.89</v>
      </c>
      <c r="H162">
        <v>124.17</v>
      </c>
    </row>
    <row r="163" spans="1:8" x14ac:dyDescent="0.3">
      <c r="A163" s="1">
        <v>44725</v>
      </c>
      <c r="B163" t="s">
        <v>64</v>
      </c>
      <c r="C163" t="s">
        <v>68</v>
      </c>
      <c r="D163" t="s">
        <v>54</v>
      </c>
      <c r="E163">
        <v>2</v>
      </c>
      <c r="F163" s="2">
        <v>5.8400000000000001E-2</v>
      </c>
      <c r="G163">
        <v>29.93</v>
      </c>
      <c r="H163">
        <v>30.91</v>
      </c>
    </row>
    <row r="164" spans="1:8" x14ac:dyDescent="0.3">
      <c r="A164" s="1">
        <v>44725</v>
      </c>
      <c r="B164" t="s">
        <v>74</v>
      </c>
      <c r="C164" t="s">
        <v>68</v>
      </c>
      <c r="D164" t="s">
        <v>54</v>
      </c>
      <c r="E164">
        <v>4</v>
      </c>
      <c r="F164" s="2">
        <v>-9.7000000000000003E-3</v>
      </c>
      <c r="G164">
        <v>113.4</v>
      </c>
      <c r="H164">
        <v>116.48</v>
      </c>
    </row>
    <row r="165" spans="1:8" x14ac:dyDescent="0.3">
      <c r="A165" s="1">
        <v>44728</v>
      </c>
      <c r="B165" t="s">
        <v>73</v>
      </c>
      <c r="C165" t="s">
        <v>68</v>
      </c>
      <c r="D165" t="s">
        <v>54</v>
      </c>
      <c r="E165">
        <v>1</v>
      </c>
      <c r="F165" s="2">
        <v>0.50560000000000005</v>
      </c>
      <c r="G165">
        <v>33.54</v>
      </c>
      <c r="H165">
        <v>34.450000000000003</v>
      </c>
    </row>
    <row r="166" spans="1:8" x14ac:dyDescent="0.3">
      <c r="A166" s="1">
        <v>44770</v>
      </c>
      <c r="B166" t="s">
        <v>64</v>
      </c>
      <c r="C166" t="s">
        <v>65</v>
      </c>
      <c r="D166" t="s">
        <v>52</v>
      </c>
      <c r="E166">
        <v>2</v>
      </c>
      <c r="F166" s="2">
        <v>0.13869999999999999</v>
      </c>
      <c r="G166">
        <v>32.5</v>
      </c>
      <c r="H166">
        <v>31.9</v>
      </c>
    </row>
    <row r="167" spans="1:8" x14ac:dyDescent="0.3">
      <c r="A167" s="1">
        <v>44770</v>
      </c>
      <c r="B167" t="s">
        <v>66</v>
      </c>
      <c r="C167" t="s">
        <v>65</v>
      </c>
      <c r="D167" t="s">
        <v>52</v>
      </c>
      <c r="E167">
        <v>3</v>
      </c>
      <c r="F167" s="2">
        <v>8.3500000000000005E-2</v>
      </c>
      <c r="G167">
        <v>67.45</v>
      </c>
      <c r="H167">
        <v>66.58</v>
      </c>
    </row>
    <row r="168" spans="1:8" x14ac:dyDescent="0.3">
      <c r="A168" s="1">
        <v>44771</v>
      </c>
      <c r="B168" t="s">
        <v>73</v>
      </c>
      <c r="C168" t="s">
        <v>65</v>
      </c>
      <c r="D168" t="s">
        <v>52</v>
      </c>
      <c r="E168">
        <v>1</v>
      </c>
      <c r="F168" s="2">
        <v>0.63539999999999996</v>
      </c>
      <c r="G168">
        <v>34.21</v>
      </c>
      <c r="H168">
        <v>33.130000000000003</v>
      </c>
    </row>
    <row r="169" spans="1:8" x14ac:dyDescent="0.3">
      <c r="A169" s="1">
        <v>44803</v>
      </c>
      <c r="B169" t="s">
        <v>66</v>
      </c>
      <c r="C169" t="s">
        <v>68</v>
      </c>
      <c r="D169" t="s">
        <v>54</v>
      </c>
      <c r="E169">
        <v>3</v>
      </c>
      <c r="F169" s="2">
        <v>4.6100000000000002E-2</v>
      </c>
      <c r="G169">
        <v>66.099999999999994</v>
      </c>
      <c r="H169">
        <v>66.33</v>
      </c>
    </row>
    <row r="170" spans="1:8" x14ac:dyDescent="0.3">
      <c r="A170" s="1">
        <v>44825</v>
      </c>
      <c r="B170" t="s">
        <v>64</v>
      </c>
      <c r="C170" t="s">
        <v>68</v>
      </c>
      <c r="D170" t="s">
        <v>54</v>
      </c>
      <c r="E170">
        <v>2</v>
      </c>
      <c r="F170" s="2">
        <v>0.14360000000000001</v>
      </c>
      <c r="G170">
        <v>32.51</v>
      </c>
      <c r="H170">
        <v>32.72</v>
      </c>
    </row>
    <row r="171" spans="1:8" x14ac:dyDescent="0.3">
      <c r="A171" s="1">
        <v>44827</v>
      </c>
      <c r="B171" t="s">
        <v>73</v>
      </c>
      <c r="C171" t="s">
        <v>68</v>
      </c>
      <c r="D171" t="s">
        <v>54</v>
      </c>
      <c r="E171">
        <v>1</v>
      </c>
      <c r="F171" s="2">
        <v>0.45839999999999997</v>
      </c>
      <c r="G171">
        <v>31.08</v>
      </c>
      <c r="H171">
        <v>33.200000000000003</v>
      </c>
    </row>
    <row r="172" spans="1:8" x14ac:dyDescent="0.3">
      <c r="A172" s="1">
        <v>44840</v>
      </c>
      <c r="B172" t="s">
        <v>73</v>
      </c>
      <c r="C172" t="s">
        <v>65</v>
      </c>
      <c r="D172" t="s">
        <v>52</v>
      </c>
      <c r="E172">
        <v>1</v>
      </c>
      <c r="F172" s="2">
        <v>0.58250000000000002</v>
      </c>
      <c r="G172">
        <v>36.36</v>
      </c>
      <c r="H172">
        <v>36.200000000000003</v>
      </c>
    </row>
    <row r="173" spans="1:8" x14ac:dyDescent="0.3">
      <c r="A173" s="1">
        <v>44858</v>
      </c>
      <c r="B173" t="s">
        <v>74</v>
      </c>
      <c r="C173" t="s">
        <v>65</v>
      </c>
      <c r="D173" t="s">
        <v>52</v>
      </c>
      <c r="E173">
        <v>3</v>
      </c>
      <c r="F173" s="2">
        <v>-5.4999999999999997E-3</v>
      </c>
      <c r="G173">
        <v>121.18</v>
      </c>
      <c r="H173">
        <v>120.07</v>
      </c>
    </row>
    <row r="174" spans="1:8" x14ac:dyDescent="0.3">
      <c r="A174" s="1">
        <v>44859</v>
      </c>
      <c r="B174" t="s">
        <v>66</v>
      </c>
      <c r="C174" t="s">
        <v>65</v>
      </c>
      <c r="D174" t="s">
        <v>52</v>
      </c>
      <c r="E174">
        <v>2</v>
      </c>
      <c r="F174" s="2">
        <v>2.3199999999999998E-2</v>
      </c>
      <c r="G174">
        <v>64.27</v>
      </c>
      <c r="H174">
        <v>63.57</v>
      </c>
    </row>
    <row r="175" spans="1:8" x14ac:dyDescent="0.3">
      <c r="A175" s="1">
        <v>44901</v>
      </c>
      <c r="B175" t="s">
        <v>73</v>
      </c>
      <c r="C175" t="s">
        <v>68</v>
      </c>
      <c r="D175" t="s">
        <v>54</v>
      </c>
      <c r="E175">
        <v>1</v>
      </c>
      <c r="F175" s="2">
        <v>0.59389999999999998</v>
      </c>
      <c r="G175">
        <v>37.630000000000003</v>
      </c>
      <c r="H175">
        <v>38.32</v>
      </c>
    </row>
    <row r="176" spans="1:8" x14ac:dyDescent="0.3">
      <c r="A176" s="1">
        <v>44935</v>
      </c>
      <c r="B176" t="s">
        <v>74</v>
      </c>
      <c r="C176" t="s">
        <v>68</v>
      </c>
      <c r="D176" t="s">
        <v>54</v>
      </c>
      <c r="E176">
        <v>3</v>
      </c>
      <c r="F176" s="2">
        <v>3.2000000000000002E-3</v>
      </c>
      <c r="G176">
        <v>125.85</v>
      </c>
      <c r="H176">
        <v>126.05</v>
      </c>
    </row>
    <row r="177" spans="1:8" x14ac:dyDescent="0.3">
      <c r="A177" s="1">
        <v>44938</v>
      </c>
      <c r="B177" t="s">
        <v>73</v>
      </c>
      <c r="C177" t="s">
        <v>65</v>
      </c>
      <c r="D177" t="s">
        <v>52</v>
      </c>
      <c r="E177">
        <v>1</v>
      </c>
      <c r="F177" s="2">
        <v>0.48110000000000003</v>
      </c>
      <c r="G177">
        <v>40.020000000000003</v>
      </c>
      <c r="H177">
        <v>39.67</v>
      </c>
    </row>
    <row r="178" spans="1:8" x14ac:dyDescent="0.3">
      <c r="A178" s="1">
        <v>44944</v>
      </c>
      <c r="B178" t="s">
        <v>66</v>
      </c>
      <c r="C178" t="s">
        <v>68</v>
      </c>
      <c r="D178" t="s">
        <v>54</v>
      </c>
      <c r="E178">
        <v>4</v>
      </c>
      <c r="F178" s="2">
        <v>-3.1E-2</v>
      </c>
      <c r="G178">
        <v>66.27</v>
      </c>
      <c r="H178">
        <v>66.97</v>
      </c>
    </row>
    <row r="179" spans="1:8" x14ac:dyDescent="0.3">
      <c r="A179" s="1">
        <v>44957</v>
      </c>
      <c r="B179" t="s">
        <v>70</v>
      </c>
      <c r="C179" t="s">
        <v>65</v>
      </c>
      <c r="D179" t="s">
        <v>52</v>
      </c>
      <c r="E179">
        <v>3</v>
      </c>
      <c r="F179" s="2">
        <v>4.0599999999999997E-2</v>
      </c>
      <c r="G179">
        <v>39.590000000000003</v>
      </c>
      <c r="H179">
        <v>39.32</v>
      </c>
    </row>
    <row r="180" spans="1:8" x14ac:dyDescent="0.3">
      <c r="A180" s="1">
        <v>44967</v>
      </c>
      <c r="B180" t="s">
        <v>70</v>
      </c>
      <c r="C180" t="s">
        <v>68</v>
      </c>
      <c r="D180" t="s">
        <v>55</v>
      </c>
      <c r="E180">
        <v>6</v>
      </c>
      <c r="F180" s="2">
        <v>-2.2200000000000001E-2</v>
      </c>
      <c r="G180">
        <v>38.36</v>
      </c>
      <c r="H180">
        <v>37.65</v>
      </c>
    </row>
    <row r="181" spans="1:8" x14ac:dyDescent="0.3">
      <c r="A181" s="1">
        <v>44974</v>
      </c>
      <c r="B181" t="s">
        <v>73</v>
      </c>
      <c r="C181" t="s">
        <v>68</v>
      </c>
      <c r="D181" t="s">
        <v>54</v>
      </c>
      <c r="E181">
        <v>1</v>
      </c>
      <c r="F181" s="2">
        <v>0.28449999999999998</v>
      </c>
      <c r="G181">
        <v>37.65</v>
      </c>
      <c r="H181">
        <v>37.659999999999997</v>
      </c>
    </row>
    <row r="182" spans="1:8" x14ac:dyDescent="0.3">
      <c r="A182" s="1">
        <v>45012</v>
      </c>
      <c r="B182" t="s">
        <v>66</v>
      </c>
      <c r="C182" t="s">
        <v>65</v>
      </c>
      <c r="D182" t="s">
        <v>52</v>
      </c>
      <c r="E182">
        <v>2</v>
      </c>
      <c r="F182" s="2">
        <v>1.1599999999999999E-2</v>
      </c>
      <c r="G182">
        <v>67.14</v>
      </c>
      <c r="H182">
        <v>66.94</v>
      </c>
    </row>
    <row r="183" spans="1:8" x14ac:dyDescent="0.3">
      <c r="A183" s="1">
        <v>45021</v>
      </c>
      <c r="B183" t="s">
        <v>74</v>
      </c>
      <c r="C183" t="s">
        <v>65</v>
      </c>
      <c r="D183" t="s">
        <v>52</v>
      </c>
      <c r="E183">
        <v>3</v>
      </c>
      <c r="F183" s="2">
        <v>-1.14E-2</v>
      </c>
      <c r="G183">
        <v>126.14</v>
      </c>
      <c r="H183">
        <v>124.72</v>
      </c>
    </row>
    <row r="184" spans="1:8" x14ac:dyDescent="0.3">
      <c r="A184" s="1">
        <v>45044</v>
      </c>
      <c r="B184" t="s">
        <v>66</v>
      </c>
      <c r="C184" t="s">
        <v>68</v>
      </c>
      <c r="D184" t="s">
        <v>55</v>
      </c>
      <c r="E184">
        <v>6</v>
      </c>
      <c r="F184" s="2">
        <v>1.0500000000000001E-2</v>
      </c>
      <c r="G184">
        <v>70.88</v>
      </c>
      <c r="H184">
        <v>67.62</v>
      </c>
    </row>
    <row r="185" spans="1:8" x14ac:dyDescent="0.3">
      <c r="A185" s="1">
        <v>45063</v>
      </c>
      <c r="B185" t="s">
        <v>69</v>
      </c>
      <c r="C185" t="s">
        <v>65</v>
      </c>
      <c r="D185" t="s">
        <v>52</v>
      </c>
      <c r="E185">
        <v>1</v>
      </c>
      <c r="F185" s="2">
        <v>0.15820000000000001</v>
      </c>
      <c r="G185">
        <v>75.52</v>
      </c>
      <c r="H185">
        <v>74.94</v>
      </c>
    </row>
    <row r="186" spans="1:8" x14ac:dyDescent="0.3">
      <c r="A186" s="1">
        <v>45063</v>
      </c>
      <c r="B186" t="s">
        <v>76</v>
      </c>
      <c r="C186" t="s">
        <v>65</v>
      </c>
      <c r="D186" t="s">
        <v>52</v>
      </c>
      <c r="E186">
        <v>3</v>
      </c>
      <c r="F186" s="2">
        <v>4.4600000000000001E-2</v>
      </c>
      <c r="G186">
        <v>58.54</v>
      </c>
      <c r="H186">
        <v>58.05</v>
      </c>
    </row>
    <row r="187" spans="1:8" x14ac:dyDescent="0.3">
      <c r="A187" s="1">
        <v>45065</v>
      </c>
      <c r="B187" t="s">
        <v>74</v>
      </c>
      <c r="C187" t="s">
        <v>68</v>
      </c>
      <c r="D187" t="s">
        <v>55</v>
      </c>
      <c r="E187">
        <v>6</v>
      </c>
      <c r="F187" s="2">
        <v>4.3099999999999999E-2</v>
      </c>
      <c r="G187">
        <v>124.36</v>
      </c>
      <c r="H187">
        <v>122.7</v>
      </c>
    </row>
    <row r="188" spans="1:8" x14ac:dyDescent="0.3">
      <c r="A188" s="1">
        <v>45084</v>
      </c>
      <c r="B188" t="s">
        <v>71</v>
      </c>
      <c r="C188" t="s">
        <v>65</v>
      </c>
      <c r="D188" t="s">
        <v>52</v>
      </c>
      <c r="E188">
        <v>2</v>
      </c>
      <c r="F188" s="2">
        <v>8.7599999999999997E-2</v>
      </c>
      <c r="G188">
        <v>97.76</v>
      </c>
      <c r="H188">
        <v>96.57</v>
      </c>
    </row>
    <row r="189" spans="1:8" x14ac:dyDescent="0.3">
      <c r="A189" s="1">
        <v>45146</v>
      </c>
      <c r="B189" t="s">
        <v>69</v>
      </c>
      <c r="C189" t="s">
        <v>68</v>
      </c>
      <c r="D189" t="s">
        <v>54</v>
      </c>
      <c r="E189">
        <v>3</v>
      </c>
      <c r="F189" s="2">
        <v>0.16969999999999999</v>
      </c>
      <c r="G189">
        <v>83.49</v>
      </c>
      <c r="H189">
        <v>83.5</v>
      </c>
    </row>
    <row r="190" spans="1:8" x14ac:dyDescent="0.3">
      <c r="A190" s="1">
        <v>45147</v>
      </c>
      <c r="B190" t="s">
        <v>73</v>
      </c>
      <c r="C190" t="s">
        <v>65</v>
      </c>
      <c r="D190" t="s">
        <v>52</v>
      </c>
      <c r="E190">
        <v>1</v>
      </c>
      <c r="F190" s="2">
        <v>0.25490000000000002</v>
      </c>
      <c r="G190">
        <v>40.22</v>
      </c>
      <c r="H190">
        <v>40.08</v>
      </c>
    </row>
    <row r="191" spans="1:8" x14ac:dyDescent="0.3">
      <c r="A191" s="1">
        <v>45153</v>
      </c>
      <c r="B191" t="s">
        <v>71</v>
      </c>
      <c r="C191" t="s">
        <v>68</v>
      </c>
      <c r="D191" t="s">
        <v>54</v>
      </c>
      <c r="E191">
        <v>4</v>
      </c>
      <c r="F191" s="2">
        <v>9.6299999999999997E-2</v>
      </c>
      <c r="G191">
        <v>102.99</v>
      </c>
      <c r="H191">
        <v>103.5</v>
      </c>
    </row>
    <row r="192" spans="1:8" x14ac:dyDescent="0.3">
      <c r="A192" s="1">
        <v>45156</v>
      </c>
      <c r="B192" t="s">
        <v>76</v>
      </c>
      <c r="C192" t="s">
        <v>68</v>
      </c>
      <c r="D192" t="s">
        <v>54</v>
      </c>
      <c r="E192">
        <v>2</v>
      </c>
      <c r="F192" s="2">
        <v>0.1177</v>
      </c>
      <c r="G192">
        <v>62.9</v>
      </c>
      <c r="H192">
        <v>63.17</v>
      </c>
    </row>
    <row r="193" spans="1:8" x14ac:dyDescent="0.3">
      <c r="A193" s="1">
        <v>45169</v>
      </c>
      <c r="B193" t="s">
        <v>69</v>
      </c>
      <c r="C193" t="s">
        <v>65</v>
      </c>
      <c r="D193" t="s">
        <v>52</v>
      </c>
      <c r="E193">
        <v>1</v>
      </c>
      <c r="F193" s="2">
        <v>0.29849999999999999</v>
      </c>
      <c r="G193">
        <v>86.11</v>
      </c>
      <c r="H193">
        <v>85.78</v>
      </c>
    </row>
    <row r="194" spans="1:8" x14ac:dyDescent="0.3">
      <c r="A194" s="1">
        <v>45190</v>
      </c>
      <c r="B194" t="s">
        <v>69</v>
      </c>
      <c r="C194" t="s">
        <v>68</v>
      </c>
      <c r="D194" t="s">
        <v>54</v>
      </c>
      <c r="E194">
        <v>2</v>
      </c>
      <c r="F194" s="2">
        <v>0.28689999999999999</v>
      </c>
      <c r="G194">
        <v>80.59</v>
      </c>
      <c r="H194">
        <v>81.459999999999994</v>
      </c>
    </row>
    <row r="195" spans="1:8" x14ac:dyDescent="0.3">
      <c r="A195" s="1">
        <v>45201</v>
      </c>
      <c r="B195" t="s">
        <v>73</v>
      </c>
      <c r="C195" t="s">
        <v>68</v>
      </c>
      <c r="D195" t="s">
        <v>54</v>
      </c>
      <c r="E195">
        <v>3</v>
      </c>
      <c r="F195" s="2">
        <v>0.26590000000000003</v>
      </c>
      <c r="G195">
        <v>40.53</v>
      </c>
      <c r="H195">
        <v>40.729999999999997</v>
      </c>
    </row>
    <row r="196" spans="1:8" x14ac:dyDescent="0.3">
      <c r="A196" s="1">
        <v>45210</v>
      </c>
      <c r="B196" t="s">
        <v>76</v>
      </c>
      <c r="C196" t="s">
        <v>65</v>
      </c>
      <c r="D196" t="s">
        <v>52</v>
      </c>
      <c r="E196">
        <v>2</v>
      </c>
      <c r="F196" s="2">
        <v>0.42549999999999999</v>
      </c>
      <c r="G196">
        <v>66.52</v>
      </c>
      <c r="H196">
        <v>66.319999999999993</v>
      </c>
    </row>
    <row r="197" spans="1:8" x14ac:dyDescent="0.3">
      <c r="A197" s="1">
        <v>45225</v>
      </c>
      <c r="B197" t="s">
        <v>76</v>
      </c>
      <c r="C197" t="s">
        <v>68</v>
      </c>
      <c r="D197" t="s">
        <v>54</v>
      </c>
      <c r="E197">
        <v>2</v>
      </c>
      <c r="F197" s="2">
        <v>0.2329</v>
      </c>
      <c r="G197">
        <v>61.37</v>
      </c>
      <c r="H197">
        <v>62.69</v>
      </c>
    </row>
    <row r="198" spans="1:8" x14ac:dyDescent="0.3">
      <c r="A198" s="1">
        <v>45237</v>
      </c>
      <c r="B198" t="s">
        <v>69</v>
      </c>
      <c r="C198" t="s">
        <v>65</v>
      </c>
      <c r="D198" t="s">
        <v>52</v>
      </c>
      <c r="E198">
        <v>2</v>
      </c>
      <c r="F198" s="2">
        <v>0.45810000000000001</v>
      </c>
      <c r="G198">
        <v>85.86</v>
      </c>
      <c r="H198">
        <v>84.96</v>
      </c>
    </row>
    <row r="199" spans="1:8" x14ac:dyDescent="0.3">
      <c r="A199" s="1">
        <v>45244</v>
      </c>
      <c r="B199" t="s">
        <v>76</v>
      </c>
      <c r="C199" t="s">
        <v>65</v>
      </c>
      <c r="D199" t="s">
        <v>52</v>
      </c>
      <c r="E199">
        <v>1</v>
      </c>
      <c r="F199" s="2">
        <v>0.40100000000000002</v>
      </c>
      <c r="G199">
        <v>67.290000000000006</v>
      </c>
      <c r="H199">
        <v>66.489999999999995</v>
      </c>
    </row>
    <row r="200" spans="1:8" x14ac:dyDescent="0.3">
      <c r="A200" s="1">
        <v>45244</v>
      </c>
      <c r="B200" t="s">
        <v>67</v>
      </c>
      <c r="C200" t="s">
        <v>65</v>
      </c>
      <c r="D200" t="s">
        <v>52</v>
      </c>
      <c r="E200">
        <v>3</v>
      </c>
      <c r="F200" s="2">
        <v>0.16589999999999999</v>
      </c>
      <c r="G200">
        <v>81.900000000000006</v>
      </c>
      <c r="H200">
        <v>79.540000000000006</v>
      </c>
    </row>
    <row r="201" spans="1:8" x14ac:dyDescent="0.3">
      <c r="A201" s="1">
        <v>45316</v>
      </c>
      <c r="B201" t="s">
        <v>67</v>
      </c>
      <c r="C201" t="s">
        <v>68</v>
      </c>
      <c r="D201" t="s">
        <v>54</v>
      </c>
      <c r="E201">
        <v>3</v>
      </c>
      <c r="F201" s="2">
        <v>0.22259999999999999</v>
      </c>
      <c r="G201">
        <v>83.68</v>
      </c>
      <c r="H201">
        <v>83.71</v>
      </c>
    </row>
    <row r="202" spans="1:8" x14ac:dyDescent="0.3">
      <c r="A202" s="1">
        <v>45324</v>
      </c>
      <c r="B202" t="s">
        <v>67</v>
      </c>
      <c r="C202" t="s">
        <v>65</v>
      </c>
      <c r="D202" t="s">
        <v>52</v>
      </c>
      <c r="E202">
        <v>3</v>
      </c>
      <c r="F202" s="2">
        <v>0.1804</v>
      </c>
      <c r="G202">
        <v>86.83</v>
      </c>
      <c r="H202">
        <v>86.54</v>
      </c>
    </row>
    <row r="203" spans="1:8" x14ac:dyDescent="0.3">
      <c r="A203" s="1">
        <v>45386</v>
      </c>
      <c r="B203" t="s">
        <v>69</v>
      </c>
      <c r="C203" t="s">
        <v>68</v>
      </c>
      <c r="D203" t="s">
        <v>54</v>
      </c>
      <c r="E203">
        <v>2</v>
      </c>
      <c r="F203" s="2">
        <v>0.36480000000000001</v>
      </c>
      <c r="G203">
        <v>100.65</v>
      </c>
      <c r="H203">
        <v>100.73</v>
      </c>
    </row>
    <row r="204" spans="1:8" x14ac:dyDescent="0.3">
      <c r="A204" s="1">
        <v>45394</v>
      </c>
      <c r="B204" t="s">
        <v>67</v>
      </c>
      <c r="C204" t="s">
        <v>68</v>
      </c>
      <c r="D204" t="s">
        <v>54</v>
      </c>
      <c r="E204">
        <v>5</v>
      </c>
      <c r="F204" s="2">
        <v>0.24349999999999999</v>
      </c>
      <c r="G204">
        <v>86.91</v>
      </c>
      <c r="H204">
        <v>86.95</v>
      </c>
    </row>
    <row r="205" spans="1:8" x14ac:dyDescent="0.3">
      <c r="A205" s="1">
        <v>45401</v>
      </c>
      <c r="B205" t="s">
        <v>76</v>
      </c>
      <c r="C205" t="s">
        <v>68</v>
      </c>
      <c r="D205" t="s">
        <v>54</v>
      </c>
      <c r="E205">
        <v>1</v>
      </c>
      <c r="F205" s="2">
        <v>0.37940000000000002</v>
      </c>
      <c r="G205">
        <v>77.42</v>
      </c>
      <c r="H205">
        <v>77.47</v>
      </c>
    </row>
    <row r="206" spans="1:8" x14ac:dyDescent="0.3">
      <c r="A206" s="1">
        <v>45421</v>
      </c>
      <c r="B206" t="s">
        <v>72</v>
      </c>
      <c r="C206" t="s">
        <v>65</v>
      </c>
      <c r="D206" t="s">
        <v>52</v>
      </c>
      <c r="E206">
        <v>3</v>
      </c>
      <c r="F206" s="2">
        <v>0.31469999999999998</v>
      </c>
      <c r="G206">
        <v>40.270000000000003</v>
      </c>
      <c r="H206">
        <v>40.03</v>
      </c>
    </row>
    <row r="207" spans="1:8" x14ac:dyDescent="0.3">
      <c r="A207" s="1">
        <v>45426</v>
      </c>
      <c r="B207" t="s">
        <v>69</v>
      </c>
      <c r="C207" t="s">
        <v>65</v>
      </c>
      <c r="D207" t="s">
        <v>52</v>
      </c>
      <c r="E207">
        <v>1</v>
      </c>
      <c r="F207" s="2">
        <v>0.39140000000000003</v>
      </c>
      <c r="G207">
        <v>102.74</v>
      </c>
      <c r="H207">
        <v>102.19</v>
      </c>
    </row>
    <row r="208" spans="1:8" x14ac:dyDescent="0.3">
      <c r="A208" s="1">
        <v>45427</v>
      </c>
      <c r="B208" t="s">
        <v>76</v>
      </c>
      <c r="C208" t="s">
        <v>65</v>
      </c>
      <c r="D208" t="s">
        <v>52</v>
      </c>
      <c r="E208">
        <v>2</v>
      </c>
      <c r="F208" s="2">
        <v>0.38850000000000001</v>
      </c>
      <c r="G208">
        <v>80.400000000000006</v>
      </c>
      <c r="H208">
        <v>79.98</v>
      </c>
    </row>
    <row r="209" spans="1:8" x14ac:dyDescent="0.3">
      <c r="A209" s="1">
        <v>45492</v>
      </c>
      <c r="B209" t="s">
        <v>69</v>
      </c>
      <c r="C209" t="s">
        <v>68</v>
      </c>
      <c r="D209" t="s">
        <v>54</v>
      </c>
      <c r="E209">
        <v>3</v>
      </c>
      <c r="F209" s="2">
        <v>0.2379</v>
      </c>
      <c r="G209">
        <v>109.11</v>
      </c>
      <c r="H209">
        <v>109.45</v>
      </c>
    </row>
    <row r="210" spans="1:8" x14ac:dyDescent="0.3">
      <c r="A210" s="1">
        <v>45497</v>
      </c>
      <c r="B210" t="s">
        <v>76</v>
      </c>
      <c r="C210" t="s">
        <v>68</v>
      </c>
      <c r="D210" t="s">
        <v>54</v>
      </c>
      <c r="E210">
        <v>1</v>
      </c>
      <c r="F210" s="2">
        <v>0.27860000000000001</v>
      </c>
      <c r="G210">
        <v>81.19</v>
      </c>
      <c r="H210">
        <v>82.92</v>
      </c>
    </row>
    <row r="211" spans="1:8" x14ac:dyDescent="0.3">
      <c r="A211" s="1">
        <v>45509</v>
      </c>
      <c r="B211" t="s">
        <v>72</v>
      </c>
      <c r="C211" t="s">
        <v>68</v>
      </c>
      <c r="D211" t="s">
        <v>54</v>
      </c>
      <c r="E211">
        <v>2</v>
      </c>
      <c r="F211" s="2">
        <v>0.18529999999999999</v>
      </c>
      <c r="G211">
        <v>39.619999999999997</v>
      </c>
      <c r="H211">
        <v>40.14</v>
      </c>
    </row>
    <row r="212" spans="1:8" x14ac:dyDescent="0.3">
      <c r="A212" s="1">
        <v>45527</v>
      </c>
      <c r="B212" t="s">
        <v>72</v>
      </c>
      <c r="C212" t="s">
        <v>65</v>
      </c>
      <c r="D212" t="s">
        <v>52</v>
      </c>
      <c r="E212">
        <v>1</v>
      </c>
      <c r="F212" s="2">
        <v>0.33129999999999998</v>
      </c>
      <c r="G212">
        <v>43.1</v>
      </c>
      <c r="H212">
        <v>42.79</v>
      </c>
    </row>
    <row r="213" spans="1:8" x14ac:dyDescent="0.3">
      <c r="A213" s="1">
        <v>45545</v>
      </c>
      <c r="B213" t="s">
        <v>75</v>
      </c>
      <c r="C213" t="s">
        <v>65</v>
      </c>
      <c r="D213" t="s">
        <v>52</v>
      </c>
      <c r="E213">
        <v>2</v>
      </c>
      <c r="F213" s="2">
        <v>0.2712</v>
      </c>
      <c r="G213">
        <v>42.02</v>
      </c>
      <c r="H213">
        <v>41.39</v>
      </c>
    </row>
    <row r="214" spans="1:8" x14ac:dyDescent="0.3">
      <c r="A214" s="1">
        <v>45554</v>
      </c>
      <c r="B214" t="s">
        <v>76</v>
      </c>
      <c r="C214" t="s">
        <v>65</v>
      </c>
      <c r="D214" t="s">
        <v>52</v>
      </c>
      <c r="E214">
        <v>3</v>
      </c>
      <c r="F214" s="2">
        <v>0.32850000000000001</v>
      </c>
      <c r="G214">
        <v>86.83</v>
      </c>
      <c r="H214">
        <v>86.57</v>
      </c>
    </row>
    <row r="215" spans="1:8" x14ac:dyDescent="0.3">
      <c r="A215" s="1">
        <v>45555</v>
      </c>
      <c r="B215" t="s">
        <v>75</v>
      </c>
      <c r="C215" t="s">
        <v>68</v>
      </c>
      <c r="D215" t="s">
        <v>55</v>
      </c>
      <c r="E215">
        <v>6</v>
      </c>
      <c r="F215" s="2">
        <v>0.27360000000000001</v>
      </c>
      <c r="G215">
        <v>41.79</v>
      </c>
      <c r="H215">
        <v>39.49</v>
      </c>
    </row>
    <row r="216" spans="1:8" x14ac:dyDescent="0.3">
      <c r="A216" s="1">
        <v>45561</v>
      </c>
      <c r="B216" t="s">
        <v>69</v>
      </c>
      <c r="C216" t="s">
        <v>65</v>
      </c>
      <c r="D216" t="s">
        <v>52</v>
      </c>
      <c r="E216">
        <v>1</v>
      </c>
      <c r="F216" s="2">
        <v>0.4133</v>
      </c>
      <c r="G216">
        <v>112.45</v>
      </c>
      <c r="H216">
        <v>111.46</v>
      </c>
    </row>
    <row r="217" spans="1:8" x14ac:dyDescent="0.3">
      <c r="A217" s="1">
        <v>45567</v>
      </c>
      <c r="B217" t="s">
        <v>69</v>
      </c>
      <c r="C217" t="s">
        <v>68</v>
      </c>
      <c r="D217" t="s">
        <v>55</v>
      </c>
      <c r="E217">
        <v>6</v>
      </c>
      <c r="F217" s="2">
        <v>0.34910000000000002</v>
      </c>
      <c r="G217">
        <v>109.81</v>
      </c>
      <c r="H217">
        <v>100.27</v>
      </c>
    </row>
    <row r="218" spans="1:8" x14ac:dyDescent="0.3">
      <c r="A218" s="1">
        <v>45574</v>
      </c>
      <c r="B218" t="s">
        <v>69</v>
      </c>
      <c r="C218" t="s">
        <v>65</v>
      </c>
      <c r="D218" t="s">
        <v>52</v>
      </c>
      <c r="E218">
        <v>3</v>
      </c>
      <c r="F218" s="2">
        <v>0.37309999999999999</v>
      </c>
      <c r="G218">
        <v>114.06</v>
      </c>
      <c r="H218">
        <v>113.27</v>
      </c>
    </row>
    <row r="219" spans="1:8" x14ac:dyDescent="0.3">
      <c r="A219" s="1">
        <v>45586</v>
      </c>
      <c r="B219" t="s">
        <v>76</v>
      </c>
      <c r="C219" t="s">
        <v>68</v>
      </c>
      <c r="D219" t="s">
        <v>55</v>
      </c>
      <c r="E219">
        <v>6</v>
      </c>
      <c r="F219" s="2">
        <v>0.36820000000000003</v>
      </c>
      <c r="G219">
        <v>89.03</v>
      </c>
      <c r="H219">
        <v>86.54</v>
      </c>
    </row>
    <row r="220" spans="1:8" x14ac:dyDescent="0.3">
      <c r="A220" s="1">
        <v>45594</v>
      </c>
      <c r="B220" t="s">
        <v>76</v>
      </c>
      <c r="C220" t="s">
        <v>65</v>
      </c>
      <c r="D220" t="s">
        <v>52</v>
      </c>
      <c r="E220">
        <v>2</v>
      </c>
      <c r="F220" s="2">
        <v>0.4788</v>
      </c>
      <c r="G220">
        <v>90.42</v>
      </c>
      <c r="H220">
        <v>89.94</v>
      </c>
    </row>
    <row r="221" spans="1:8" x14ac:dyDescent="0.3">
      <c r="A221" s="1">
        <v>45607</v>
      </c>
      <c r="B221" t="s">
        <v>69</v>
      </c>
      <c r="C221" t="s">
        <v>68</v>
      </c>
      <c r="D221" t="s">
        <v>55</v>
      </c>
      <c r="E221">
        <v>6</v>
      </c>
      <c r="F221" s="2">
        <v>0.35809999999999997</v>
      </c>
      <c r="G221">
        <v>116.72</v>
      </c>
      <c r="H221">
        <v>109.94</v>
      </c>
    </row>
    <row r="222" spans="1:8" x14ac:dyDescent="0.3">
      <c r="A222" s="1">
        <v>45607</v>
      </c>
      <c r="B222" t="s">
        <v>71</v>
      </c>
      <c r="C222" t="s">
        <v>65</v>
      </c>
      <c r="D222" t="s">
        <v>52</v>
      </c>
      <c r="E222">
        <v>3</v>
      </c>
      <c r="F222" s="2">
        <v>0.43819999999999998</v>
      </c>
      <c r="G222">
        <v>139.80000000000001</v>
      </c>
      <c r="H222">
        <v>139.16</v>
      </c>
    </row>
    <row r="223" spans="1:8" x14ac:dyDescent="0.3">
      <c r="A223" s="1">
        <v>45638</v>
      </c>
      <c r="B223" t="s">
        <v>71</v>
      </c>
      <c r="C223" t="s">
        <v>68</v>
      </c>
      <c r="D223" t="s">
        <v>54</v>
      </c>
      <c r="E223">
        <v>4</v>
      </c>
      <c r="F223" s="2">
        <v>0.2661</v>
      </c>
      <c r="G223">
        <v>134.53</v>
      </c>
      <c r="H223">
        <v>134.56</v>
      </c>
    </row>
    <row r="224" spans="1:8" x14ac:dyDescent="0.3">
      <c r="A224" s="1">
        <v>45642</v>
      </c>
      <c r="B224" t="s">
        <v>67</v>
      </c>
      <c r="C224" t="s">
        <v>65</v>
      </c>
      <c r="D224" t="s">
        <v>52</v>
      </c>
      <c r="E224">
        <v>2</v>
      </c>
      <c r="F224" s="2">
        <v>0.34560000000000002</v>
      </c>
      <c r="G224">
        <v>117.62</v>
      </c>
      <c r="H224">
        <v>116.63</v>
      </c>
    </row>
    <row r="225" spans="1:8" x14ac:dyDescent="0.3">
      <c r="A225" s="1">
        <v>45643</v>
      </c>
      <c r="B225" t="s">
        <v>72</v>
      </c>
      <c r="C225" t="s">
        <v>68</v>
      </c>
      <c r="D225" t="s">
        <v>54</v>
      </c>
      <c r="E225">
        <v>3</v>
      </c>
      <c r="F225" s="2">
        <v>0.3362</v>
      </c>
      <c r="G225">
        <v>47.81</v>
      </c>
      <c r="H225">
        <v>48</v>
      </c>
    </row>
    <row r="226" spans="1:8" x14ac:dyDescent="0.3">
      <c r="A226" s="1">
        <v>45659</v>
      </c>
      <c r="B226" t="s">
        <v>67</v>
      </c>
      <c r="C226" t="s">
        <v>68</v>
      </c>
      <c r="D226" t="s">
        <v>54</v>
      </c>
      <c r="E226">
        <v>3</v>
      </c>
      <c r="F226" s="2">
        <v>0.26019999999999999</v>
      </c>
      <c r="G226">
        <v>109.31</v>
      </c>
      <c r="H226">
        <v>109.83</v>
      </c>
    </row>
    <row r="227" spans="1:8" x14ac:dyDescent="0.3">
      <c r="A227" s="1">
        <v>45667</v>
      </c>
      <c r="B227" t="s">
        <v>76</v>
      </c>
      <c r="C227" t="s">
        <v>68</v>
      </c>
      <c r="D227" t="s">
        <v>54</v>
      </c>
      <c r="E227">
        <v>1</v>
      </c>
      <c r="F227" s="2">
        <v>0.32679999999999998</v>
      </c>
      <c r="G227">
        <v>94.11</v>
      </c>
      <c r="H227">
        <v>94.62</v>
      </c>
    </row>
    <row r="228" spans="1:8" x14ac:dyDescent="0.3">
      <c r="A228" s="1">
        <v>45673</v>
      </c>
      <c r="B228" t="s">
        <v>72</v>
      </c>
      <c r="C228" t="s">
        <v>65</v>
      </c>
      <c r="D228" t="s">
        <v>52</v>
      </c>
      <c r="E228">
        <v>1</v>
      </c>
      <c r="F228" s="2">
        <v>0.35489999999999999</v>
      </c>
      <c r="G228">
        <v>48.7</v>
      </c>
      <c r="H228">
        <v>48.51</v>
      </c>
    </row>
    <row r="229" spans="1:8" x14ac:dyDescent="0.3">
      <c r="A229" s="1">
        <v>45678</v>
      </c>
      <c r="B229" t="s">
        <v>64</v>
      </c>
      <c r="C229" t="s">
        <v>65</v>
      </c>
      <c r="D229" t="s">
        <v>52</v>
      </c>
      <c r="E229">
        <v>2</v>
      </c>
      <c r="F229" s="2">
        <v>0.35260000000000002</v>
      </c>
      <c r="G229">
        <v>38.4</v>
      </c>
      <c r="H229">
        <v>37.99</v>
      </c>
    </row>
    <row r="230" spans="1:8" x14ac:dyDescent="0.3">
      <c r="A230" s="1">
        <v>45681</v>
      </c>
      <c r="B230" t="s">
        <v>76</v>
      </c>
      <c r="C230" t="s">
        <v>65</v>
      </c>
      <c r="D230" t="s">
        <v>52</v>
      </c>
      <c r="E230">
        <v>3</v>
      </c>
      <c r="F230" s="2">
        <v>0.3407</v>
      </c>
      <c r="G230">
        <v>98.63</v>
      </c>
      <c r="H230">
        <v>98.04</v>
      </c>
    </row>
    <row r="231" spans="1:8" x14ac:dyDescent="0.3">
      <c r="A231" s="1">
        <v>45715</v>
      </c>
      <c r="B231" t="s">
        <v>76</v>
      </c>
      <c r="C231" t="s">
        <v>68</v>
      </c>
      <c r="D231" t="s">
        <v>54</v>
      </c>
      <c r="E231">
        <v>3</v>
      </c>
      <c r="F231" s="2">
        <v>0.29380000000000001</v>
      </c>
      <c r="G231">
        <v>98.75</v>
      </c>
      <c r="H231">
        <v>99.32</v>
      </c>
    </row>
    <row r="232" spans="1:8" x14ac:dyDescent="0.3">
      <c r="A232" s="1">
        <v>45720</v>
      </c>
      <c r="B232" t="s">
        <v>72</v>
      </c>
      <c r="C232" t="s">
        <v>68</v>
      </c>
      <c r="D232" t="s">
        <v>54</v>
      </c>
      <c r="E232">
        <v>3</v>
      </c>
      <c r="F232" s="2">
        <v>0.25690000000000002</v>
      </c>
      <c r="G232">
        <v>48.81</v>
      </c>
      <c r="H232">
        <v>49.19</v>
      </c>
    </row>
    <row r="233" spans="1:8" x14ac:dyDescent="0.3">
      <c r="A233" s="1">
        <v>45722</v>
      </c>
      <c r="B233" t="s">
        <v>64</v>
      </c>
      <c r="C233" t="s">
        <v>68</v>
      </c>
      <c r="D233" t="s">
        <v>54</v>
      </c>
      <c r="E233">
        <v>2</v>
      </c>
      <c r="F233" s="2">
        <v>0.24740000000000001</v>
      </c>
      <c r="G233">
        <v>36.4</v>
      </c>
      <c r="H233">
        <v>36.869999999999997</v>
      </c>
    </row>
    <row r="234" spans="1:8" x14ac:dyDescent="0.3">
      <c r="A234" s="1">
        <v>45779</v>
      </c>
      <c r="B234" t="s">
        <v>76</v>
      </c>
      <c r="C234" t="s">
        <v>65</v>
      </c>
      <c r="D234" t="s">
        <v>52</v>
      </c>
      <c r="E234">
        <v>1</v>
      </c>
      <c r="F234" s="2">
        <v>0.26529999999999998</v>
      </c>
      <c r="G234">
        <v>95.98</v>
      </c>
      <c r="H234">
        <v>95.48</v>
      </c>
    </row>
    <row r="235" spans="1:8" x14ac:dyDescent="0.3">
      <c r="A235" s="1">
        <v>45779</v>
      </c>
      <c r="B235" t="s">
        <v>72</v>
      </c>
      <c r="C235" t="s">
        <v>65</v>
      </c>
      <c r="D235" t="s">
        <v>52</v>
      </c>
      <c r="E235">
        <v>2</v>
      </c>
      <c r="F235" s="2">
        <v>0.25209999999999999</v>
      </c>
      <c r="G235">
        <v>48.83</v>
      </c>
      <c r="H235">
        <v>48.16</v>
      </c>
    </row>
    <row r="236" spans="1:8" x14ac:dyDescent="0.3">
      <c r="A236" s="1">
        <v>45783</v>
      </c>
      <c r="B236" t="s">
        <v>64</v>
      </c>
      <c r="C236" t="s">
        <v>65</v>
      </c>
      <c r="D236" t="s">
        <v>52</v>
      </c>
      <c r="E236">
        <v>3</v>
      </c>
      <c r="F236" s="2">
        <v>0.22259999999999999</v>
      </c>
      <c r="G236">
        <v>38.9</v>
      </c>
      <c r="H236">
        <v>38.71</v>
      </c>
    </row>
    <row r="237" spans="1:8" x14ac:dyDescent="0.3">
      <c r="A237" s="1">
        <v>45866</v>
      </c>
      <c r="B237" t="s">
        <v>64</v>
      </c>
      <c r="C237" t="s">
        <v>68</v>
      </c>
      <c r="D237" t="s">
        <v>55</v>
      </c>
      <c r="E237">
        <v>6</v>
      </c>
      <c r="F237" s="2">
        <v>0.2112</v>
      </c>
      <c r="G237">
        <v>40.68</v>
      </c>
      <c r="H237">
        <v>39.090000000000003</v>
      </c>
    </row>
    <row r="238" spans="1:8" x14ac:dyDescent="0.3">
      <c r="A238" s="1">
        <v>45873</v>
      </c>
      <c r="B238" t="s">
        <v>64</v>
      </c>
      <c r="C238" t="s">
        <v>65</v>
      </c>
      <c r="D238" t="s">
        <v>52</v>
      </c>
      <c r="E238">
        <v>2</v>
      </c>
      <c r="F238" s="2">
        <v>0.2349</v>
      </c>
      <c r="G238">
        <v>42.48</v>
      </c>
      <c r="H238">
        <v>41.96</v>
      </c>
    </row>
    <row r="239" spans="1:8" x14ac:dyDescent="0.3">
      <c r="A239" s="1">
        <v>45874</v>
      </c>
      <c r="B239" t="s">
        <v>64</v>
      </c>
      <c r="C239" t="s">
        <v>68</v>
      </c>
      <c r="D239" t="s">
        <v>55</v>
      </c>
      <c r="E239">
        <v>6</v>
      </c>
      <c r="F239" s="2">
        <v>0.20019999999999999</v>
      </c>
      <c r="G239">
        <v>42.02</v>
      </c>
      <c r="H239">
        <v>39.090000000000003</v>
      </c>
    </row>
    <row r="240" spans="1:8" x14ac:dyDescent="0.3">
      <c r="A240" s="1">
        <v>45882</v>
      </c>
      <c r="B240" t="s">
        <v>67</v>
      </c>
      <c r="C240" t="s">
        <v>65</v>
      </c>
      <c r="D240" t="s">
        <v>52</v>
      </c>
      <c r="E240">
        <v>1</v>
      </c>
      <c r="F240" s="2">
        <v>0.3301</v>
      </c>
      <c r="G240">
        <v>114.04</v>
      </c>
      <c r="H240">
        <v>112.79</v>
      </c>
    </row>
    <row r="241" spans="1:8" x14ac:dyDescent="0.3">
      <c r="A241" s="1">
        <v>45940</v>
      </c>
      <c r="B241" t="s">
        <v>76</v>
      </c>
      <c r="C241" t="s">
        <v>68</v>
      </c>
      <c r="D241" t="s">
        <v>54</v>
      </c>
      <c r="E241">
        <v>1</v>
      </c>
      <c r="F241" s="2">
        <v>0.26150000000000001</v>
      </c>
      <c r="G241">
        <v>111.79</v>
      </c>
      <c r="H241">
        <v>113.67</v>
      </c>
    </row>
    <row r="242" spans="1:8" x14ac:dyDescent="0.3">
      <c r="A242" s="1">
        <v>45940</v>
      </c>
      <c r="B242" t="s">
        <v>72</v>
      </c>
      <c r="C242" t="s">
        <v>68</v>
      </c>
      <c r="D242" t="s">
        <v>54</v>
      </c>
      <c r="E242">
        <v>5</v>
      </c>
      <c r="F242" s="2">
        <v>0.1671</v>
      </c>
      <c r="G242">
        <v>51.53</v>
      </c>
      <c r="H242">
        <v>52.42</v>
      </c>
    </row>
    <row r="243" spans="1:8" x14ac:dyDescent="0.3">
      <c r="A243" s="1">
        <v>45940</v>
      </c>
      <c r="B243" t="s">
        <v>67</v>
      </c>
      <c r="C243" t="s">
        <v>68</v>
      </c>
      <c r="D243" t="s">
        <v>54</v>
      </c>
      <c r="E243">
        <v>3</v>
      </c>
      <c r="F243" s="2">
        <v>0.17119999999999999</v>
      </c>
      <c r="G243">
        <v>113.69</v>
      </c>
      <c r="H243">
        <v>116.09</v>
      </c>
    </row>
    <row r="244" spans="1:8" x14ac:dyDescent="0.3">
      <c r="A244" s="1">
        <v>45944</v>
      </c>
      <c r="B244" t="s">
        <v>64</v>
      </c>
      <c r="C244" t="s">
        <v>65</v>
      </c>
      <c r="D244" t="s">
        <v>52</v>
      </c>
      <c r="E244">
        <v>3</v>
      </c>
      <c r="F244" s="2">
        <v>0.20150000000000001</v>
      </c>
      <c r="G244">
        <v>44.91</v>
      </c>
      <c r="H244">
        <v>44.74</v>
      </c>
    </row>
    <row r="245" spans="1:8" x14ac:dyDescent="0.3">
      <c r="A245" s="1">
        <v>45954</v>
      </c>
      <c r="B245" t="s">
        <v>69</v>
      </c>
      <c r="C245" t="s">
        <v>65</v>
      </c>
      <c r="D245" t="s">
        <v>52</v>
      </c>
      <c r="E245">
        <v>2</v>
      </c>
      <c r="F245" s="2">
        <v>0.27479999999999999</v>
      </c>
      <c r="G245">
        <v>146.21</v>
      </c>
      <c r="H245">
        <v>145.1</v>
      </c>
    </row>
    <row r="246" spans="1:8" x14ac:dyDescent="0.3">
      <c r="A246" s="1">
        <v>45958</v>
      </c>
      <c r="B246" t="s">
        <v>64</v>
      </c>
      <c r="C246" t="s">
        <v>68</v>
      </c>
      <c r="D246" t="s">
        <v>55</v>
      </c>
      <c r="E246">
        <v>6</v>
      </c>
      <c r="F246" s="2">
        <v>0.1371</v>
      </c>
      <c r="G246">
        <v>44.14</v>
      </c>
      <c r="H246">
        <v>42.4</v>
      </c>
    </row>
    <row r="247" spans="1:8" x14ac:dyDescent="0.3">
      <c r="A247" s="1">
        <v>45979</v>
      </c>
      <c r="B247" t="s">
        <v>69</v>
      </c>
      <c r="C247" t="s">
        <v>68</v>
      </c>
      <c r="D247" t="s">
        <v>54</v>
      </c>
      <c r="E247">
        <v>1</v>
      </c>
      <c r="F247" s="2">
        <v>0.1973</v>
      </c>
      <c r="G247">
        <v>138.97</v>
      </c>
      <c r="H247">
        <v>139.59</v>
      </c>
    </row>
    <row r="248" spans="1:8" x14ac:dyDescent="0.3">
      <c r="A248" s="1">
        <v>45986</v>
      </c>
      <c r="B248" t="s">
        <v>74</v>
      </c>
      <c r="C248" t="s">
        <v>65</v>
      </c>
      <c r="D248" t="s">
        <v>52</v>
      </c>
      <c r="E248">
        <v>3</v>
      </c>
      <c r="F248" s="2">
        <v>0.122</v>
      </c>
      <c r="G248">
        <v>156.76</v>
      </c>
      <c r="H248">
        <v>154.18</v>
      </c>
    </row>
    <row r="249" spans="1:8" x14ac:dyDescent="0.3">
      <c r="A249" s="1">
        <v>45993</v>
      </c>
      <c r="B249" t="s">
        <v>74</v>
      </c>
      <c r="C249" t="s">
        <v>68</v>
      </c>
      <c r="D249" t="s">
        <v>55</v>
      </c>
      <c r="E249">
        <v>6</v>
      </c>
      <c r="F249" s="2">
        <v>6.9199999999999998E-2</v>
      </c>
      <c r="G249">
        <v>152.4</v>
      </c>
      <c r="H249">
        <v>141.02000000000001</v>
      </c>
    </row>
    <row r="250" spans="1:8" x14ac:dyDescent="0.3">
      <c r="A250" s="1">
        <v>45996</v>
      </c>
      <c r="B250" t="s">
        <v>76</v>
      </c>
      <c r="C250" t="s">
        <v>65</v>
      </c>
      <c r="D250" t="s">
        <v>52</v>
      </c>
      <c r="E250">
        <v>2</v>
      </c>
      <c r="F250" s="2">
        <v>0.1847</v>
      </c>
      <c r="G250">
        <v>116.08</v>
      </c>
      <c r="H250">
        <v>114.99</v>
      </c>
    </row>
    <row r="251" spans="1:8" x14ac:dyDescent="0.3">
      <c r="A251" s="1">
        <v>46001</v>
      </c>
      <c r="B251" t="s">
        <v>71</v>
      </c>
      <c r="C251" t="s">
        <v>65</v>
      </c>
      <c r="D251" t="s">
        <v>52</v>
      </c>
      <c r="E251">
        <v>3</v>
      </c>
      <c r="F251" s="2">
        <v>0.1273</v>
      </c>
      <c r="G251">
        <v>154.71</v>
      </c>
      <c r="H251">
        <v>154.19999999999999</v>
      </c>
    </row>
    <row r="252" spans="1:8" x14ac:dyDescent="0.3">
      <c r="A252" s="1">
        <v>46038</v>
      </c>
      <c r="B252" t="s">
        <v>76</v>
      </c>
      <c r="C252" t="s">
        <v>68</v>
      </c>
      <c r="D252" t="s">
        <v>54</v>
      </c>
      <c r="E252">
        <v>3</v>
      </c>
      <c r="F252" s="2">
        <v>0.20050000000000001</v>
      </c>
      <c r="G252">
        <v>114.51</v>
      </c>
      <c r="H252">
        <v>114.69</v>
      </c>
    </row>
    <row r="253" spans="1:8" x14ac:dyDescent="0.3">
      <c r="A253" s="1">
        <v>46049</v>
      </c>
      <c r="B253" t="s">
        <v>69</v>
      </c>
      <c r="C253" t="s">
        <v>65</v>
      </c>
      <c r="D253" t="s">
        <v>52</v>
      </c>
      <c r="E253">
        <v>1</v>
      </c>
      <c r="F253" s="2">
        <v>0.24510000000000001</v>
      </c>
      <c r="G253">
        <v>147.69</v>
      </c>
      <c r="H253">
        <v>147.21</v>
      </c>
    </row>
    <row r="254" spans="1:8" x14ac:dyDescent="0.3">
      <c r="A254" s="1">
        <v>46051</v>
      </c>
      <c r="B254" t="s">
        <v>76</v>
      </c>
      <c r="C254" t="s">
        <v>65</v>
      </c>
      <c r="D254" t="s">
        <v>52</v>
      </c>
      <c r="E254">
        <v>3</v>
      </c>
      <c r="F254" s="2">
        <v>0.19550000000000001</v>
      </c>
      <c r="G254">
        <v>119.1</v>
      </c>
      <c r="H254">
        <v>117.99</v>
      </c>
    </row>
    <row r="255" spans="1:8" x14ac:dyDescent="0.3">
      <c r="A255" s="1">
        <v>46057</v>
      </c>
      <c r="B255" t="s">
        <v>69</v>
      </c>
      <c r="C255" t="s">
        <v>68</v>
      </c>
      <c r="D255" t="s">
        <v>54</v>
      </c>
      <c r="E255">
        <v>3</v>
      </c>
      <c r="F255" s="2">
        <v>0.22070000000000001</v>
      </c>
      <c r="G255">
        <v>137.78</v>
      </c>
      <c r="H255">
        <v>139.83000000000001</v>
      </c>
    </row>
    <row r="256" spans="1:8" x14ac:dyDescent="0.3">
      <c r="A256" s="1">
        <v>46057</v>
      </c>
      <c r="B256" t="s">
        <v>73</v>
      </c>
      <c r="C256" t="s">
        <v>65</v>
      </c>
      <c r="D256" t="s">
        <v>52</v>
      </c>
      <c r="E256">
        <v>2</v>
      </c>
      <c r="F256" s="2">
        <v>0.23810000000000001</v>
      </c>
      <c r="G256">
        <v>52.11</v>
      </c>
      <c r="H256">
        <v>51.08</v>
      </c>
    </row>
    <row r="257" spans="1:8" x14ac:dyDescent="0.3">
      <c r="A257" s="1">
        <v>46058</v>
      </c>
      <c r="B257" t="s">
        <v>76</v>
      </c>
      <c r="C257" t="s">
        <v>68</v>
      </c>
      <c r="D257" t="s">
        <v>55</v>
      </c>
      <c r="E257">
        <v>6</v>
      </c>
      <c r="F257" s="2">
        <v>0.13619999999999999</v>
      </c>
      <c r="G257">
        <v>115.54</v>
      </c>
      <c r="H257">
        <v>112.53</v>
      </c>
    </row>
    <row r="258" spans="1:8" x14ac:dyDescent="0.3">
      <c r="A258" s="1">
        <v>46064</v>
      </c>
      <c r="B258" t="s">
        <v>70</v>
      </c>
      <c r="C258" t="s">
        <v>65</v>
      </c>
      <c r="D258" t="s">
        <v>52</v>
      </c>
      <c r="E258">
        <v>3</v>
      </c>
      <c r="F258" s="2">
        <v>0.23250000000000001</v>
      </c>
      <c r="G258">
        <v>53.18</v>
      </c>
      <c r="H258">
        <v>52.56</v>
      </c>
    </row>
    <row r="259" spans="1:8" x14ac:dyDescent="0.3">
      <c r="A259" s="1">
        <v>46087</v>
      </c>
      <c r="B259" t="s">
        <v>70</v>
      </c>
      <c r="C259" t="s">
        <v>68</v>
      </c>
      <c r="D259" t="s">
        <v>56</v>
      </c>
      <c r="E259">
        <v>6</v>
      </c>
      <c r="F259" s="2">
        <v>0.1552</v>
      </c>
      <c r="G259">
        <v>49.45</v>
      </c>
      <c r="H259">
        <v>49.95</v>
      </c>
    </row>
    <row r="260" spans="1:8" x14ac:dyDescent="0.3">
      <c r="A260" s="1">
        <v>46093</v>
      </c>
      <c r="B260" t="s">
        <v>71</v>
      </c>
      <c r="C260" t="s">
        <v>68</v>
      </c>
      <c r="D260" t="s">
        <v>54</v>
      </c>
      <c r="E260">
        <v>3</v>
      </c>
      <c r="F260" s="2">
        <v>0.28739999999999999</v>
      </c>
      <c r="G260">
        <v>164.37</v>
      </c>
      <c r="H260">
        <v>165.3</v>
      </c>
    </row>
    <row r="261" spans="1:8" x14ac:dyDescent="0.3">
      <c r="A261" s="1">
        <v>46121</v>
      </c>
      <c r="B261" t="s">
        <v>71</v>
      </c>
      <c r="C261" t="s">
        <v>65</v>
      </c>
      <c r="D261" t="s">
        <v>52</v>
      </c>
      <c r="E261">
        <v>3</v>
      </c>
      <c r="F261" s="2">
        <v>0.48659999999999998</v>
      </c>
      <c r="G261">
        <v>171.77</v>
      </c>
      <c r="H261">
        <v>170.64</v>
      </c>
    </row>
    <row r="262" spans="1:8" x14ac:dyDescent="0.3">
      <c r="A262" s="1">
        <v>46125</v>
      </c>
      <c r="B262" t="s">
        <v>69</v>
      </c>
      <c r="C262" t="s">
        <v>65</v>
      </c>
      <c r="D262" t="s">
        <v>52</v>
      </c>
      <c r="E262">
        <v>1</v>
      </c>
      <c r="F262" s="2">
        <v>0.43669999999999998</v>
      </c>
      <c r="G262">
        <v>145.44</v>
      </c>
      <c r="H262">
        <v>143.38999999999999</v>
      </c>
    </row>
    <row r="263" spans="1:8" x14ac:dyDescent="0.3">
      <c r="A263" s="1">
        <v>46126</v>
      </c>
      <c r="B263" t="s">
        <v>73</v>
      </c>
      <c r="C263" t="s">
        <v>68</v>
      </c>
      <c r="D263" t="s">
        <v>54</v>
      </c>
      <c r="E263">
        <v>2</v>
      </c>
      <c r="F263" s="2">
        <v>0.50029999999999997</v>
      </c>
      <c r="G263">
        <v>55.55</v>
      </c>
      <c r="H263">
        <v>55.78</v>
      </c>
    </row>
    <row r="264" spans="1:8" x14ac:dyDescent="0.3">
      <c r="A264" s="1">
        <v>46160</v>
      </c>
      <c r="B264" t="s">
        <v>73</v>
      </c>
      <c r="C264" t="s">
        <v>65</v>
      </c>
      <c r="D264" t="s">
        <v>52</v>
      </c>
      <c r="E264">
        <v>2</v>
      </c>
      <c r="F264" s="2">
        <v>0.4607</v>
      </c>
      <c r="G264">
        <v>60.15</v>
      </c>
      <c r="H264">
        <v>59.41</v>
      </c>
    </row>
    <row r="265" spans="1:8" x14ac:dyDescent="0.3">
      <c r="A265" s="1">
        <v>46161</v>
      </c>
      <c r="B265" t="s">
        <v>71</v>
      </c>
      <c r="C265" t="s">
        <v>68</v>
      </c>
      <c r="D265" t="s">
        <v>54</v>
      </c>
      <c r="E265">
        <v>3</v>
      </c>
      <c r="F265" s="2">
        <v>0.18940000000000001</v>
      </c>
      <c r="G265">
        <v>168.33</v>
      </c>
      <c r="H265">
        <v>168.81</v>
      </c>
    </row>
    <row r="266" spans="1:8" x14ac:dyDescent="0.3">
      <c r="A266" s="1">
        <v>46188</v>
      </c>
      <c r="B266" t="s">
        <v>73</v>
      </c>
      <c r="C266" t="s">
        <v>68</v>
      </c>
      <c r="D266" t="s">
        <v>54</v>
      </c>
      <c r="E266">
        <v>2</v>
      </c>
      <c r="F266" s="2">
        <v>0.32429999999999998</v>
      </c>
      <c r="G266">
        <v>55.15</v>
      </c>
      <c r="H266">
        <v>55.59</v>
      </c>
    </row>
    <row r="267" spans="1:8" x14ac:dyDescent="0.3">
      <c r="A267" s="1">
        <v>46188</v>
      </c>
      <c r="B267" t="s">
        <v>71</v>
      </c>
      <c r="C267" t="s">
        <v>65</v>
      </c>
      <c r="D267" t="s">
        <v>52</v>
      </c>
      <c r="E267">
        <v>3</v>
      </c>
      <c r="F267" s="2">
        <v>0.25879999999999997</v>
      </c>
      <c r="G267">
        <v>178.24</v>
      </c>
      <c r="H267">
        <v>176.18</v>
      </c>
    </row>
    <row r="268" spans="1:8" x14ac:dyDescent="0.3">
      <c r="A268" s="1">
        <v>46220</v>
      </c>
      <c r="B268" t="s">
        <v>69</v>
      </c>
      <c r="C268" t="s">
        <v>68</v>
      </c>
      <c r="D268" t="s">
        <v>54</v>
      </c>
      <c r="E268">
        <v>2</v>
      </c>
      <c r="F268" s="2">
        <v>0.36459999999999998</v>
      </c>
      <c r="G268">
        <v>175.59</v>
      </c>
      <c r="H268">
        <v>176.36</v>
      </c>
    </row>
    <row r="269" spans="1:8" x14ac:dyDescent="0.3">
      <c r="A269" s="1">
        <v>46220</v>
      </c>
      <c r="B269" t="s">
        <v>73</v>
      </c>
      <c r="C269" t="s">
        <v>65</v>
      </c>
      <c r="D269" t="s">
        <v>52</v>
      </c>
      <c r="E269">
        <v>1</v>
      </c>
      <c r="F269" s="2">
        <v>0.38109999999999999</v>
      </c>
      <c r="G269">
        <v>57.68</v>
      </c>
      <c r="H269">
        <v>57.3</v>
      </c>
    </row>
    <row r="270" spans="1:8" x14ac:dyDescent="0.3">
      <c r="A270" s="1">
        <v>46231</v>
      </c>
      <c r="B270" t="s">
        <v>74</v>
      </c>
      <c r="C270" t="s">
        <v>65</v>
      </c>
      <c r="D270" t="s">
        <v>52</v>
      </c>
      <c r="E270">
        <v>3</v>
      </c>
      <c r="F270" s="2">
        <v>0.24690000000000001</v>
      </c>
      <c r="G270">
        <v>167.26</v>
      </c>
      <c r="H270">
        <v>165.61</v>
      </c>
    </row>
    <row r="271" spans="1:8" x14ac:dyDescent="0.3">
      <c r="A271" s="1">
        <v>46232</v>
      </c>
      <c r="B271" t="s">
        <v>71</v>
      </c>
      <c r="C271" t="s">
        <v>68</v>
      </c>
      <c r="D271" t="s">
        <v>54</v>
      </c>
      <c r="E271">
        <v>4</v>
      </c>
      <c r="F271" s="2">
        <v>0.15809999999999999</v>
      </c>
      <c r="G271">
        <v>176.66</v>
      </c>
      <c r="H271">
        <v>177.59</v>
      </c>
    </row>
    <row r="272" spans="1:8" x14ac:dyDescent="0.3">
      <c r="A272" s="1">
        <v>46238</v>
      </c>
      <c r="B272" t="s">
        <v>71</v>
      </c>
      <c r="C272" t="s">
        <v>65</v>
      </c>
      <c r="D272" t="s">
        <v>52</v>
      </c>
      <c r="E272">
        <v>3</v>
      </c>
      <c r="F272" s="2">
        <v>0.26090000000000002</v>
      </c>
      <c r="G272">
        <v>186.4</v>
      </c>
      <c r="H272">
        <v>184.92</v>
      </c>
    </row>
    <row r="273" spans="1:8" x14ac:dyDescent="0.3">
      <c r="A273" s="1">
        <v>46262</v>
      </c>
      <c r="B273" t="s">
        <v>71</v>
      </c>
      <c r="C273" t="s">
        <v>68</v>
      </c>
      <c r="D273" t="s">
        <v>54</v>
      </c>
      <c r="E273">
        <v>5</v>
      </c>
      <c r="F273" s="2">
        <v>0.1716</v>
      </c>
      <c r="G273">
        <v>177.14</v>
      </c>
      <c r="H273">
        <v>177.89</v>
      </c>
    </row>
    <row r="274" spans="1:8" x14ac:dyDescent="0.3">
      <c r="A274" s="1">
        <v>46275</v>
      </c>
      <c r="B274" t="s">
        <v>74</v>
      </c>
      <c r="C274" t="s">
        <v>68</v>
      </c>
      <c r="D274" t="s">
        <v>54</v>
      </c>
      <c r="E274">
        <v>3</v>
      </c>
      <c r="F274" s="2">
        <v>0.2162</v>
      </c>
      <c r="G274">
        <v>165.66</v>
      </c>
      <c r="H274">
        <v>165.76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0F73-61E0-4E01-BF67-F3AA7B1E95F5}">
  <dimension ref="A1:C33"/>
  <sheetViews>
    <sheetView workbookViewId="0">
      <selection activeCell="B21" sqref="B21"/>
    </sheetView>
  </sheetViews>
  <sheetFormatPr baseColWidth="10" defaultRowHeight="14.4" x14ac:dyDescent="0.3"/>
  <cols>
    <col min="1" max="1" width="42.5546875" customWidth="1"/>
    <col min="2" max="2" width="16.6640625" customWidth="1"/>
    <col min="3" max="3" width="77.77734375" customWidth="1"/>
  </cols>
  <sheetData>
    <row r="1" spans="1:3" ht="18" x14ac:dyDescent="0.35">
      <c r="A1" s="3" t="s">
        <v>77</v>
      </c>
    </row>
    <row r="3" spans="1:3" x14ac:dyDescent="0.3">
      <c r="A3" s="5" t="s">
        <v>78</v>
      </c>
      <c r="B3" s="5" t="s">
        <v>79</v>
      </c>
      <c r="C3" s="5" t="s">
        <v>80</v>
      </c>
    </row>
    <row r="4" spans="1:3" x14ac:dyDescent="0.3">
      <c r="A4" t="s">
        <v>81</v>
      </c>
      <c r="B4" s="7">
        <v>10</v>
      </c>
      <c r="C4" t="s">
        <v>82</v>
      </c>
    </row>
    <row r="5" spans="1:3" x14ac:dyDescent="0.3">
      <c r="A5" t="s">
        <v>83</v>
      </c>
      <c r="B5" s="8">
        <v>3.0000000000000001E-3</v>
      </c>
      <c r="C5" t="s">
        <v>84</v>
      </c>
    </row>
    <row r="6" spans="1:3" x14ac:dyDescent="0.3">
      <c r="A6" t="s">
        <v>85</v>
      </c>
      <c r="B6" s="8">
        <v>3.0000000000000001E-3</v>
      </c>
      <c r="C6" t="s">
        <v>86</v>
      </c>
    </row>
    <row r="7" spans="1:3" x14ac:dyDescent="0.3">
      <c r="A7" t="s">
        <v>87</v>
      </c>
      <c r="B7" s="8">
        <v>0</v>
      </c>
      <c r="C7" t="s">
        <v>88</v>
      </c>
    </row>
    <row r="9" spans="1:3" x14ac:dyDescent="0.3">
      <c r="A9" s="4" t="s">
        <v>89</v>
      </c>
    </row>
    <row r="10" spans="1:3" x14ac:dyDescent="0.3">
      <c r="A10" s="5" t="s">
        <v>90</v>
      </c>
      <c r="B10" s="5" t="s">
        <v>91</v>
      </c>
      <c r="C10" s="5" t="s">
        <v>80</v>
      </c>
    </row>
    <row r="11" spans="1:3" x14ac:dyDescent="0.3">
      <c r="A11" s="6">
        <v>2016</v>
      </c>
      <c r="B11" s="9">
        <v>3.0000000000000001E-3</v>
      </c>
      <c r="C11" t="s">
        <v>205</v>
      </c>
    </row>
    <row r="12" spans="1:3" x14ac:dyDescent="0.3">
      <c r="A12" s="6">
        <v>2017</v>
      </c>
      <c r="B12" s="9">
        <v>8.9999999999999993E-3</v>
      </c>
    </row>
    <row r="13" spans="1:3" x14ac:dyDescent="0.3">
      <c r="A13" s="6">
        <v>2018</v>
      </c>
      <c r="B13" s="9">
        <v>1.9E-2</v>
      </c>
    </row>
    <row r="14" spans="1:3" x14ac:dyDescent="0.3">
      <c r="A14" s="6">
        <v>2019</v>
      </c>
      <c r="B14" s="9">
        <v>2.1000000000000001E-2</v>
      </c>
    </row>
    <row r="15" spans="1:3" x14ac:dyDescent="0.3">
      <c r="A15" s="6">
        <v>2020</v>
      </c>
      <c r="B15" s="9">
        <v>4.0000000000000001E-3</v>
      </c>
    </row>
    <row r="16" spans="1:3" x14ac:dyDescent="0.3">
      <c r="A16" s="6">
        <v>2021</v>
      </c>
      <c r="B16" s="9">
        <v>5.0000000000000001E-4</v>
      </c>
    </row>
    <row r="17" spans="1:3" x14ac:dyDescent="0.3">
      <c r="A17" s="6">
        <v>2022</v>
      </c>
      <c r="B17" s="9">
        <v>0.02</v>
      </c>
    </row>
    <row r="18" spans="1:3" x14ac:dyDescent="0.3">
      <c r="A18" s="6">
        <v>2023</v>
      </c>
      <c r="B18" s="9">
        <v>5.0999999999999997E-2</v>
      </c>
    </row>
    <row r="19" spans="1:3" x14ac:dyDescent="0.3">
      <c r="A19" s="6">
        <v>2024</v>
      </c>
      <c r="B19" s="9">
        <v>0.05</v>
      </c>
    </row>
    <row r="20" spans="1:3" x14ac:dyDescent="0.3">
      <c r="A20" s="6">
        <v>2025</v>
      </c>
      <c r="B20" s="9">
        <v>4.2000000000000003E-2</v>
      </c>
    </row>
    <row r="21" spans="1:3" x14ac:dyDescent="0.3">
      <c r="A21" s="6">
        <v>2026</v>
      </c>
      <c r="B21" s="9">
        <v>3.6999999999999998E-2</v>
      </c>
    </row>
    <row r="23" spans="1:3" x14ac:dyDescent="0.3">
      <c r="A23" s="4" t="s">
        <v>92</v>
      </c>
    </row>
    <row r="24" spans="1:3" x14ac:dyDescent="0.3">
      <c r="A24" s="5" t="s">
        <v>93</v>
      </c>
      <c r="B24" s="5" t="s">
        <v>94</v>
      </c>
      <c r="C24" s="5" t="s">
        <v>80</v>
      </c>
    </row>
    <row r="25" spans="1:3" x14ac:dyDescent="0.3">
      <c r="A25" s="10">
        <v>-10</v>
      </c>
      <c r="B25" s="6" t="s">
        <v>146</v>
      </c>
      <c r="C25" t="s">
        <v>98</v>
      </c>
    </row>
    <row r="26" spans="1:3" x14ac:dyDescent="0.3">
      <c r="A26" s="10">
        <v>0</v>
      </c>
      <c r="B26" s="6" t="s">
        <v>95</v>
      </c>
    </row>
    <row r="27" spans="1:3" x14ac:dyDescent="0.3">
      <c r="A27" s="10">
        <v>0.05</v>
      </c>
      <c r="B27" s="6" t="s">
        <v>96</v>
      </c>
    </row>
    <row r="28" spans="1:3" x14ac:dyDescent="0.3">
      <c r="A28" s="10">
        <v>0.15</v>
      </c>
      <c r="B28" s="6" t="s">
        <v>97</v>
      </c>
    </row>
    <row r="29" spans="1:3" x14ac:dyDescent="0.3">
      <c r="A29" s="10">
        <v>0.3</v>
      </c>
      <c r="B29" s="6" t="s">
        <v>147</v>
      </c>
    </row>
    <row r="31" spans="1:3" x14ac:dyDescent="0.3">
      <c r="A31" s="4" t="s">
        <v>206</v>
      </c>
    </row>
    <row r="32" spans="1:3" x14ac:dyDescent="0.3">
      <c r="A32" t="s">
        <v>207</v>
      </c>
      <c r="B32" s="31">
        <v>2E-3</v>
      </c>
      <c r="C32" t="s">
        <v>208</v>
      </c>
    </row>
    <row r="33" spans="1:3" x14ac:dyDescent="0.3">
      <c r="A33" t="s">
        <v>209</v>
      </c>
      <c r="B33" s="6">
        <v>3</v>
      </c>
      <c r="C33" t="s">
        <v>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B6D3-D5FA-440C-9B64-A1B5F7F5BBB9}">
  <dimension ref="A1:AF140"/>
  <sheetViews>
    <sheetView workbookViewId="0">
      <pane ySplit="3" topLeftCell="A4" activePane="bottomLeft" state="frozen"/>
      <selection pane="bottomLeft" activeCell="Q54" sqref="Q54"/>
    </sheetView>
  </sheetViews>
  <sheetFormatPr baseColWidth="10" defaultRowHeight="14.4" x14ac:dyDescent="0.3"/>
  <cols>
    <col min="1" max="1" width="3.77734375" customWidth="1"/>
    <col min="2" max="2" width="7.77734375" customWidth="1"/>
    <col min="3" max="13" width="13.88671875" customWidth="1"/>
    <col min="14" max="14" width="23.88671875" customWidth="1"/>
    <col min="15" max="15" width="6.44140625" customWidth="1"/>
    <col min="16" max="16" width="9.109375" customWidth="1"/>
    <col min="17" max="18" width="13.88671875" customWidth="1"/>
    <col min="19" max="19" width="14.77734375" customWidth="1"/>
    <col min="20" max="32" width="13.88671875" customWidth="1"/>
  </cols>
  <sheetData>
    <row r="1" spans="1:32" ht="18" x14ac:dyDescent="0.35">
      <c r="A1" s="3" t="s">
        <v>99</v>
      </c>
    </row>
    <row r="2" spans="1:32" x14ac:dyDescent="0.3">
      <c r="A2" s="11" t="s">
        <v>100</v>
      </c>
    </row>
    <row r="3" spans="1:32" ht="45" customHeight="1" x14ac:dyDescent="0.3">
      <c r="A3" s="13" t="s">
        <v>101</v>
      </c>
      <c r="B3" s="13" t="s">
        <v>102</v>
      </c>
      <c r="C3" s="13" t="s">
        <v>58</v>
      </c>
      <c r="D3" s="13" t="s">
        <v>103</v>
      </c>
      <c r="E3" s="13" t="s">
        <v>104</v>
      </c>
      <c r="F3" s="13" t="s">
        <v>105</v>
      </c>
      <c r="G3" s="13" t="s">
        <v>106</v>
      </c>
      <c r="H3" s="13" t="s">
        <v>107</v>
      </c>
      <c r="I3" s="13" t="s">
        <v>108</v>
      </c>
      <c r="J3" s="13" t="s">
        <v>109</v>
      </c>
      <c r="K3" s="13" t="s">
        <v>110</v>
      </c>
      <c r="L3" s="13" t="s">
        <v>111</v>
      </c>
      <c r="M3" s="13" t="s">
        <v>112</v>
      </c>
      <c r="N3" s="13" t="s">
        <v>113</v>
      </c>
      <c r="O3" s="13" t="s">
        <v>114</v>
      </c>
      <c r="P3" s="13" t="s">
        <v>115</v>
      </c>
      <c r="Q3" s="13" t="s">
        <v>116</v>
      </c>
      <c r="R3" s="13" t="s">
        <v>117</v>
      </c>
      <c r="S3" s="13" t="s">
        <v>118</v>
      </c>
      <c r="T3" s="13" t="s">
        <v>119</v>
      </c>
      <c r="U3" s="13" t="s">
        <v>120</v>
      </c>
      <c r="V3" s="13" t="s">
        <v>121</v>
      </c>
      <c r="W3" s="13" t="s">
        <v>122</v>
      </c>
      <c r="X3" s="13" t="s">
        <v>123</v>
      </c>
      <c r="Y3" s="13" t="s">
        <v>124</v>
      </c>
      <c r="Z3" s="13" t="s">
        <v>125</v>
      </c>
      <c r="AA3" s="13" t="s">
        <v>126</v>
      </c>
      <c r="AB3" s="13" t="s">
        <v>127</v>
      </c>
      <c r="AC3" s="13" t="s">
        <v>128</v>
      </c>
      <c r="AD3" s="13" t="s">
        <v>129</v>
      </c>
      <c r="AE3" s="13" t="s">
        <v>211</v>
      </c>
      <c r="AF3" s="13" t="s">
        <v>212</v>
      </c>
    </row>
    <row r="4" spans="1:32" x14ac:dyDescent="0.3">
      <c r="A4">
        <f>ROW()-3</f>
        <v>1</v>
      </c>
      <c r="B4" cm="1">
        <f t="array" ref="B4">IFERROR(_xlfn.AGGREGATE(15,6,ROW('Motivos detalle'!$C$2:$C$274)/('Motivos detalle'!$C$2:$C$274="ENTRA"),A4),"")</f>
        <v>2</v>
      </c>
      <c r="C4" s="16" t="str" cm="1">
        <f t="array" ref="C4">INDEX('Motivos detalle'!$B:$B,$B4)</f>
        <v>XLU</v>
      </c>
      <c r="D4" s="17" cm="1">
        <f t="array" ref="D4">INDEX('Motivos detalle'!$A:$A,$B4)</f>
        <v>42425</v>
      </c>
      <c r="E4" s="16" cm="1">
        <f t="array" ref="E4">INDEX('Motivos detalle'!$E:$E,$B4)</f>
        <v>1</v>
      </c>
      <c r="F4" s="18" cm="1">
        <f t="array" ref="F4">INDEX('Motivos detalle'!$F:$F,$B4)</f>
        <v>8.0500000000000002E-2</v>
      </c>
      <c r="G4" s="19" cm="1">
        <f t="array" ref="G4">INDEX('Motivos detalle'!$G:$G,$B4)</f>
        <v>17.03</v>
      </c>
      <c r="H4" s="19" cm="1">
        <f t="array" ref="H4">INDEX('Motivos detalle'!$H:$H,$B4)</f>
        <v>16.89</v>
      </c>
      <c r="I4" s="18">
        <f>G4/H4-1</f>
        <v>8.2889283599762997E-3</v>
      </c>
      <c r="J4" s="16" cm="1">
        <f t="array" ref="J4">IFERROR(_xlfn.AGGREGATE(15,6,ROW('Motivos detalle'!$C$2:$C$274)/(('Motivos detalle'!$C$2:$C$274="SALE")*('Motivos detalle'!$B$2:$B$274=C4)*(ROW('Motivos detalle'!$C$2:$C$274)&gt;B4)),1),"")</f>
        <v>5</v>
      </c>
      <c r="K4" s="17" cm="1">
        <f t="array" ref="K4">IF($J4="","",INDEX('Motivos detalle'!$A:$A,$J4))</f>
        <v>42480</v>
      </c>
      <c r="L4" s="19" cm="1">
        <f t="array" ref="L4">IF($J4="","",INDEX('Motivos detalle'!$G:$G,$J4))</f>
        <v>17.32</v>
      </c>
      <c r="M4" s="19" cm="1">
        <f t="array" ref="M4">IF($J4="","",INDEX('Motivos detalle'!$H:$H,$J4))</f>
        <v>17.420000000000002</v>
      </c>
      <c r="N4" s="16" t="str" cm="1">
        <f t="array" ref="N4">IF($J4="","Abierto",INDEX('Motivos detalle'!$D:$D,$J4))</f>
        <v>ruptura piso Donchian</v>
      </c>
      <c r="O4" s="16" cm="1">
        <f t="array" ref="O4">IF($J4="","",INDEX('Motivos detalle'!$E:$E,$J4))</f>
        <v>1</v>
      </c>
      <c r="P4">
        <f>IF(J4="","",K4-D4)</f>
        <v>55</v>
      </c>
      <c r="Q4" s="14">
        <f>IF(J4="","",L4/G4-1)</f>
        <v>1.7028772753963528E-2</v>
      </c>
      <c r="R4" t="str">
        <f>IF(J4="","Abierto",IF(Q4&gt;0,"Ganador","Perdedor"))</f>
        <v>Ganador</v>
      </c>
      <c r="S4" t="str">
        <f>VLOOKUP(F4,Parametros!$A$25:$B$29,2,TRUE)</f>
        <v>5% a 15%</v>
      </c>
      <c r="T4" s="14">
        <f>IF(ISNUMBER(SEARCH("piso",N4)),L4/M4-1,"")</f>
        <v>-5.7405281285879406E-3</v>
      </c>
      <c r="U4" cm="1">
        <f t="array" ref="U4">IF(J4="","",IFERROR(_xlfn.AGGREGATE(15,6,ROW('Motivos detalle'!$C$2:$C$274)/(('Motivos detalle'!$C$2:$C$274="ENTRA")*('Motivos detalle'!$B$2:$B$274=C4)*(ROW('Motivos detalle'!$C$2:$C$274)&gt;J4)),1),""))</f>
        <v>9</v>
      </c>
      <c r="V4" s="17" cm="1">
        <f t="array" ref="V4">IF(U4="","",INDEX('Motivos detalle'!$A:$A,U4))</f>
        <v>42524</v>
      </c>
      <c r="W4">
        <f>IF(V4="","",V4-K4)</f>
        <v>44</v>
      </c>
      <c r="X4" s="19" cm="1">
        <f t="array" ref="X4">IF(U4="","",INDEX('Motivos detalle'!$G:$G,U4))</f>
        <v>18.100000000000001</v>
      </c>
      <c r="Y4" t="str">
        <f>IF(W4="","No",IF(W4&lt;Parametros!$B$4,"Sí","No"))</f>
        <v>No</v>
      </c>
      <c r="Z4" s="14" t="str">
        <f>IF(Y4="Sí",X4/L4-1,"")</f>
        <v/>
      </c>
      <c r="AA4" t="str">
        <f>IF(F4&gt;Parametros!$B$7,"Sí","No")</f>
        <v>Sí</v>
      </c>
      <c r="AB4" s="15">
        <f>VLOOKUP(YEAR(D4),Parametros!$A$11:$B$21,2,FALSE)</f>
        <v>3.0000000000000001E-3</v>
      </c>
      <c r="AC4" t="str">
        <f>IF(F4&gt;AB4,"Sí","No")</f>
        <v>Sí</v>
      </c>
      <c r="AD4" t="str">
        <f>IF(N4="ruptura piso Donchian",IF(T4&gt;-Parametros!$B$6,"Sí","No"),"")</f>
        <v>No</v>
      </c>
      <c r="AE4" s="15">
        <f>IF(J4="","",(L4*(1-Parametros!$B$32))/(G4*(1+Parametros!$B$32))-1)</f>
        <v>1.2968777653149299E-2</v>
      </c>
      <c r="AF4" s="15">
        <f>IF(J4="","",Q4-AE4)</f>
        <v>4.0599951008142288E-3</v>
      </c>
    </row>
    <row r="5" spans="1:32" x14ac:dyDescent="0.3">
      <c r="A5">
        <f t="shared" ref="A5:A68" si="0">ROW()-3</f>
        <v>2</v>
      </c>
      <c r="B5" cm="1">
        <f t="array" ref="B5">IFERROR(_xlfn.AGGREGATE(15,6,ROW('Motivos detalle'!$C$2:$C$274)/('Motivos detalle'!$C$2:$C$274="ENTRA"),A5),"")</f>
        <v>3</v>
      </c>
      <c r="C5" s="16" t="str" cm="1">
        <f t="array" ref="C5">INDEX('Motivos detalle'!$B:$B,$B5)</f>
        <v>XLP</v>
      </c>
      <c r="D5" s="17" cm="1">
        <f t="array" ref="D5">INDEX('Motivos detalle'!$A:$A,$B5)</f>
        <v>42425</v>
      </c>
      <c r="E5" s="16" cm="1">
        <f t="array" ref="E5">INDEX('Motivos detalle'!$E:$E,$B5)</f>
        <v>2</v>
      </c>
      <c r="F5" s="18" cm="1">
        <f t="array" ref="F5">INDEX('Motivos detalle'!$F:$F,$B5)</f>
        <v>6.93E-2</v>
      </c>
      <c r="G5" s="19" cm="1">
        <f t="array" ref="G5">INDEX('Motivos detalle'!$G:$G,$B5)</f>
        <v>39.18</v>
      </c>
      <c r="H5" s="19" cm="1">
        <f t="array" ref="H5">INDEX('Motivos detalle'!$H:$H,$B5)</f>
        <v>38.79</v>
      </c>
      <c r="I5" s="18">
        <f t="shared" ref="I5:I68" si="1">G5/H5-1</f>
        <v>1.0054137664346596E-2</v>
      </c>
      <c r="J5" s="16" cm="1">
        <f t="array" ref="J5">IFERROR(_xlfn.AGGREGATE(15,6,ROW('Motivos detalle'!$C$2:$C$274)/(('Motivos detalle'!$C$2:$C$274="SALE")*('Motivos detalle'!$B$2:$B$274=C5)*(ROW('Motivos detalle'!$C$2:$C$274)&gt;B5)),1),"")</f>
        <v>6</v>
      </c>
      <c r="K5" s="17" cm="1">
        <f t="array" ref="K5">IF($J5="","",INDEX('Motivos detalle'!$A:$A,$J5))</f>
        <v>42481</v>
      </c>
      <c r="L5" s="19" cm="1">
        <f t="array" ref="L5">IF($J5="","",INDEX('Motivos detalle'!$G:$G,$J5))</f>
        <v>39.35</v>
      </c>
      <c r="M5" s="19" cm="1">
        <f t="array" ref="M5">IF($J5="","",INDEX('Motivos detalle'!$H:$H,$J5))</f>
        <v>39.630000000000003</v>
      </c>
      <c r="N5" s="16" t="str" cm="1">
        <f t="array" ref="N5">IF($J5="","Abierto",INDEX('Motivos detalle'!$D:$D,$J5))</f>
        <v>ruptura piso Donchian</v>
      </c>
      <c r="O5" s="16" cm="1">
        <f t="array" ref="O5">IF($J5="","",INDEX('Motivos detalle'!$E:$E,$J5))</f>
        <v>2</v>
      </c>
      <c r="P5">
        <f t="shared" ref="P5:P68" si="2">IF(J5="","",K5-D5)</f>
        <v>56</v>
      </c>
      <c r="Q5" s="14">
        <f t="shared" ref="Q5:Q68" si="3">IF(J5="","",L5/G5-1)</f>
        <v>4.3389484430833569E-3</v>
      </c>
      <c r="R5" t="str">
        <f t="shared" ref="R5:R68" si="4">IF(J5="","Abierto",IF(Q5&gt;0,"Ganador","Perdedor"))</f>
        <v>Ganador</v>
      </c>
      <c r="S5" t="str">
        <f>VLOOKUP(F5,Parametros!$A$25:$B$29,2,TRUE)</f>
        <v>5% a 15%</v>
      </c>
      <c r="T5" s="14">
        <f t="shared" ref="T5:T68" si="5">IF(ISNUMBER(SEARCH("piso",N5)),L5/M5-1,"")</f>
        <v>-7.0653545293969389E-3</v>
      </c>
      <c r="U5" cm="1">
        <f t="array" ref="U5">IF(J5="","",IFERROR(_xlfn.AGGREGATE(15,6,ROW('Motivos detalle'!$C$2:$C$274)/(('Motivos detalle'!$C$2:$C$274="ENTRA")*('Motivos detalle'!$B$2:$B$274=C5)*(ROW('Motivos detalle'!$C$2:$C$274)&gt;J5)),1),""))</f>
        <v>7</v>
      </c>
      <c r="V5" s="17" cm="1">
        <f t="array" ref="V5">IF(U5="","",INDEX('Motivos detalle'!$A:$A,U5))</f>
        <v>42500</v>
      </c>
      <c r="W5">
        <f t="shared" ref="W5:W68" si="6">IF(V5="","",V5-K5)</f>
        <v>19</v>
      </c>
      <c r="X5" s="19" cm="1">
        <f t="array" ref="X5">IF(U5="","",INDEX('Motivos detalle'!$G:$G,U5))</f>
        <v>41.09</v>
      </c>
      <c r="Y5" t="str">
        <f>IF(W5="","No",IF(W5&lt;Parametros!$B$4,"Sí","No"))</f>
        <v>No</v>
      </c>
      <c r="Z5" s="14" t="str">
        <f t="shared" ref="Z5:Z68" si="7">IF(Y5="Sí",X5/L5-1,"")</f>
        <v/>
      </c>
      <c r="AA5" t="str">
        <f>IF(F5&gt;Parametros!$B$7,"Sí","No")</f>
        <v>Sí</v>
      </c>
      <c r="AB5" s="15">
        <f>VLOOKUP(YEAR(D5),Parametros!$A$11:$B$21,2,FALSE)</f>
        <v>3.0000000000000001E-3</v>
      </c>
      <c r="AC5" t="str">
        <f t="shared" ref="AC5:AC68" si="8">IF(F5&gt;AB5,"Sí","No")</f>
        <v>Sí</v>
      </c>
      <c r="AD5" t="str">
        <f>IF(N5="ruptura piso Donchian",IF(T5&gt;-Parametros!$B$6,"Sí","No"),"")</f>
        <v>No</v>
      </c>
      <c r="AE5" s="15">
        <f>IF(J5="","",(L5*(1-Parametros!$B$32))/(G5*(1+Parametros!$B$32))-1)</f>
        <v>3.2961132355002754E-4</v>
      </c>
      <c r="AF5" s="15">
        <f t="shared" ref="AF5:AF68" si="9">IF(J5="","",Q5-AE5)</f>
        <v>4.0093371195333294E-3</v>
      </c>
    </row>
    <row r="6" spans="1:32" x14ac:dyDescent="0.3">
      <c r="A6">
        <f t="shared" si="0"/>
        <v>3</v>
      </c>
      <c r="B6" cm="1">
        <f t="array" ref="B6">IFERROR(_xlfn.AGGREGATE(15,6,ROW('Motivos detalle'!$C$2:$C$274)/('Motivos detalle'!$C$2:$C$274="ENTRA"),A6),"")</f>
        <v>4</v>
      </c>
      <c r="C6" s="16" t="str" cm="1">
        <f t="array" ref="C6">INDEX('Motivos detalle'!$B:$B,$B6)</f>
        <v>XLY</v>
      </c>
      <c r="D6" s="17" cm="1">
        <f t="array" ref="D6">INDEX('Motivos detalle'!$A:$A,$B6)</f>
        <v>42430</v>
      </c>
      <c r="E6" s="16" cm="1">
        <f t="array" ref="E6">INDEX('Motivos detalle'!$E:$E,$B6)</f>
        <v>3</v>
      </c>
      <c r="F6" s="18" cm="1">
        <f t="array" ref="F6">INDEX('Motivos detalle'!$F:$F,$B6)</f>
        <v>8.3000000000000001E-3</v>
      </c>
      <c r="G6" s="19" cm="1">
        <f t="array" ref="G6">INDEX('Motivos detalle'!$G:$G,$B6)</f>
        <v>34.17</v>
      </c>
      <c r="H6" s="19" cm="1">
        <f t="array" ref="H6">INDEX('Motivos detalle'!$H:$H,$B6)</f>
        <v>33.729999999999997</v>
      </c>
      <c r="I6" s="18">
        <f t="shared" si="1"/>
        <v>1.3044767269493107E-2</v>
      </c>
      <c r="J6" s="16" cm="1">
        <f t="array" ref="J6">IFERROR(_xlfn.AGGREGATE(15,6,ROW('Motivos detalle'!$C$2:$C$274)/(('Motivos detalle'!$C$2:$C$274="SALE")*('Motivos detalle'!$B$2:$B$274=C6)*(ROW('Motivos detalle'!$C$2:$C$274)&gt;B6)),1),"")</f>
        <v>8</v>
      </c>
      <c r="K6" s="17" cm="1">
        <f t="array" ref="K6">IF($J6="","",INDEX('Motivos detalle'!$A:$A,$J6))</f>
        <v>42503</v>
      </c>
      <c r="L6" s="19" cm="1">
        <f t="array" ref="L6">IF($J6="","",INDEX('Motivos detalle'!$G:$G,$J6))</f>
        <v>35.07</v>
      </c>
      <c r="M6" s="19" cm="1">
        <f t="array" ref="M6">IF($J6="","",INDEX('Motivos detalle'!$H:$H,$J6))</f>
        <v>35.15</v>
      </c>
      <c r="N6" s="16" t="str" cm="1">
        <f t="array" ref="N6">IF($J6="","Abierto",INDEX('Motivos detalle'!$D:$D,$J6))</f>
        <v>ruptura piso Donchian</v>
      </c>
      <c r="O6" s="16" cm="1">
        <f t="array" ref="O6">IF($J6="","",INDEX('Motivos detalle'!$E:$E,$J6))</f>
        <v>3</v>
      </c>
      <c r="P6">
        <f t="shared" si="2"/>
        <v>73</v>
      </c>
      <c r="Q6" s="14">
        <f t="shared" si="3"/>
        <v>2.6338893766461702E-2</v>
      </c>
      <c r="R6" t="str">
        <f t="shared" si="4"/>
        <v>Ganador</v>
      </c>
      <c r="S6" t="str">
        <f>VLOOKUP(F6,Parametros!$A$25:$B$29,2,TRUE)</f>
        <v>0% a 5%</v>
      </c>
      <c r="T6" s="14">
        <f t="shared" si="5"/>
        <v>-2.2759601706969779E-3</v>
      </c>
      <c r="U6" cm="1">
        <f t="array" ref="U6">IF(J6="","",IFERROR(_xlfn.AGGREGATE(15,6,ROW('Motivos detalle'!$C$2:$C$274)/(('Motivos detalle'!$C$2:$C$274="ENTRA")*('Motivos detalle'!$B$2:$B$274=C6)*(ROW('Motivos detalle'!$C$2:$C$274)&gt;J6)),1),""))</f>
        <v>60</v>
      </c>
      <c r="V6" s="17" cm="1">
        <f t="array" ref="V6">IF(U6="","",INDEX('Motivos detalle'!$A:$A,U6))</f>
        <v>43256</v>
      </c>
      <c r="W6">
        <f t="shared" si="6"/>
        <v>753</v>
      </c>
      <c r="X6" s="19" cm="1">
        <f t="array" ref="X6">IF(U6="","",INDEX('Motivos detalle'!$G:$G,U6))</f>
        <v>50.1</v>
      </c>
      <c r="Y6" t="str">
        <f>IF(W6="","No",IF(W6&lt;Parametros!$B$4,"Sí","No"))</f>
        <v>No</v>
      </c>
      <c r="Z6" s="14" t="str">
        <f t="shared" si="7"/>
        <v/>
      </c>
      <c r="AA6" t="str">
        <f>IF(F6&gt;Parametros!$B$7,"Sí","No")</f>
        <v>Sí</v>
      </c>
      <c r="AB6" s="15">
        <f>VLOOKUP(YEAR(D6),Parametros!$A$11:$B$21,2,FALSE)</f>
        <v>3.0000000000000001E-3</v>
      </c>
      <c r="AC6" t="str">
        <f t="shared" si="8"/>
        <v>Sí</v>
      </c>
      <c r="AD6" t="str">
        <f>IF(N6="ruptura piso Donchian",IF(T6&gt;-Parametros!$B$6,"Sí","No"),"")</f>
        <v>Sí</v>
      </c>
      <c r="AE6" s="15">
        <f>IF(J6="","",(L6*(1-Parametros!$B$32))/(G6*(1+Parametros!$B$32))-1)</f>
        <v>2.2241732513901047E-2</v>
      </c>
      <c r="AF6" s="15">
        <f t="shared" si="9"/>
        <v>4.0971612525606549E-3</v>
      </c>
    </row>
    <row r="7" spans="1:32" x14ac:dyDescent="0.3">
      <c r="A7">
        <f t="shared" si="0"/>
        <v>4</v>
      </c>
      <c r="B7" cm="1">
        <f t="array" ref="B7">IFERROR(_xlfn.AGGREGATE(15,6,ROW('Motivos detalle'!$C$2:$C$274)/('Motivos detalle'!$C$2:$C$274="ENTRA"),A7),"")</f>
        <v>7</v>
      </c>
      <c r="C7" s="16" t="str" cm="1">
        <f t="array" ref="C7">INDEX('Motivos detalle'!$B:$B,$B7)</f>
        <v>XLP</v>
      </c>
      <c r="D7" s="17" cm="1">
        <f t="array" ref="D7">INDEX('Motivos detalle'!$A:$A,$B7)</f>
        <v>42500</v>
      </c>
      <c r="E7" s="16" cm="1">
        <f t="array" ref="E7">INDEX('Motivos detalle'!$E:$E,$B7)</f>
        <v>2</v>
      </c>
      <c r="F7" s="18" cm="1">
        <f t="array" ref="F7">INDEX('Motivos detalle'!$F:$F,$B7)</f>
        <v>0.13200000000000001</v>
      </c>
      <c r="G7" s="19" cm="1">
        <f t="array" ref="G7">INDEX('Motivos detalle'!$G:$G,$B7)</f>
        <v>41.09</v>
      </c>
      <c r="H7" s="19" cm="1">
        <f t="array" ref="H7">INDEX('Motivos detalle'!$H:$H,$B7)</f>
        <v>40.799999999999997</v>
      </c>
      <c r="I7" s="18">
        <f t="shared" si="1"/>
        <v>7.1078431372550988E-3</v>
      </c>
      <c r="J7" s="16" cm="1">
        <f t="array" ref="J7">IFERROR(_xlfn.AGGREGATE(15,6,ROW('Motivos detalle'!$C$2:$C$274)/(('Motivos detalle'!$C$2:$C$274="SALE")*('Motivos detalle'!$B$2:$B$274=C7)*(ROW('Motivos detalle'!$C$2:$C$274)&gt;B7)),1),"")</f>
        <v>13</v>
      </c>
      <c r="K7" s="17" cm="1">
        <f t="array" ref="K7">IF($J7="","",INDEX('Motivos detalle'!$A:$A,$J7))</f>
        <v>42622</v>
      </c>
      <c r="L7" s="19" cm="1">
        <f t="array" ref="L7">IF($J7="","",INDEX('Motivos detalle'!$G:$G,$J7))</f>
        <v>40.29</v>
      </c>
      <c r="M7" s="19" cm="1">
        <f t="array" ref="M7">IF($J7="","",INDEX('Motivos detalle'!$H:$H,$J7))</f>
        <v>41.33</v>
      </c>
      <c r="N7" s="16" t="str" cm="1">
        <f t="array" ref="N7">IF($J7="","Abierto",INDEX('Motivos detalle'!$D:$D,$J7))</f>
        <v>ruptura piso Donchian</v>
      </c>
      <c r="O7" s="16" cm="1">
        <f t="array" ref="O7">IF($J7="","",INDEX('Motivos detalle'!$E:$E,$J7))</f>
        <v>3</v>
      </c>
      <c r="P7">
        <f t="shared" si="2"/>
        <v>122</v>
      </c>
      <c r="Q7" s="14">
        <f t="shared" si="3"/>
        <v>-1.9469457288878167E-2</v>
      </c>
      <c r="R7" t="str">
        <f t="shared" si="4"/>
        <v>Perdedor</v>
      </c>
      <c r="S7" t="str">
        <f>VLOOKUP(F7,Parametros!$A$25:$B$29,2,TRUE)</f>
        <v>5% a 15%</v>
      </c>
      <c r="T7" s="14">
        <f t="shared" si="5"/>
        <v>-2.516331962255014E-2</v>
      </c>
      <c r="U7" cm="1">
        <f t="array" ref="U7">IF(J7="","",IFERROR(_xlfn.AGGREGATE(15,6,ROW('Motivos detalle'!$C$2:$C$274)/(('Motivos detalle'!$C$2:$C$274="ENTRA")*('Motivos detalle'!$B$2:$B$274=C7)*(ROW('Motivos detalle'!$C$2:$C$274)&gt;J7)),1),""))</f>
        <v>82</v>
      </c>
      <c r="V7" s="17" cm="1">
        <f t="array" ref="V7">IF(U7="","",INDEX('Motivos detalle'!$A:$A,U7))</f>
        <v>43623</v>
      </c>
      <c r="W7">
        <f t="shared" si="6"/>
        <v>1001</v>
      </c>
      <c r="X7" s="19" cm="1">
        <f t="array" ref="X7">IF(U7="","",INDEX('Motivos detalle'!$G:$G,U7))</f>
        <v>48.32</v>
      </c>
      <c r="Y7" t="str">
        <f>IF(W7="","No",IF(W7&lt;Parametros!$B$4,"Sí","No"))</f>
        <v>No</v>
      </c>
      <c r="Z7" s="14" t="str">
        <f t="shared" si="7"/>
        <v/>
      </c>
      <c r="AA7" t="str">
        <f>IF(F7&gt;Parametros!$B$7,"Sí","No")</f>
        <v>Sí</v>
      </c>
      <c r="AB7" s="15">
        <f>VLOOKUP(YEAR(D7),Parametros!$A$11:$B$21,2,FALSE)</f>
        <v>3.0000000000000001E-3</v>
      </c>
      <c r="AC7" t="str">
        <f t="shared" si="8"/>
        <v>Sí</v>
      </c>
      <c r="AD7" t="str">
        <f>IF(N7="ruptura piso Donchian",IF(T7&gt;-Parametros!$B$6,"Sí","No"),"")</f>
        <v>No</v>
      </c>
      <c r="AE7" s="15">
        <f>IF(J7="","",(L7*(1-Parametros!$B$32))/(G7*(1+Parametros!$B$32))-1)</f>
        <v>-2.3383750872555287E-2</v>
      </c>
      <c r="AF7" s="15">
        <f t="shared" si="9"/>
        <v>3.9142935836771198E-3</v>
      </c>
    </row>
    <row r="8" spans="1:32" x14ac:dyDescent="0.3">
      <c r="A8">
        <f t="shared" si="0"/>
        <v>5</v>
      </c>
      <c r="B8" cm="1">
        <f t="array" ref="B8">IFERROR(_xlfn.AGGREGATE(15,6,ROW('Motivos detalle'!$C$2:$C$274)/('Motivos detalle'!$C$2:$C$274="ENTRA"),A8),"")</f>
        <v>9</v>
      </c>
      <c r="C8" s="16" t="str" cm="1">
        <f t="array" ref="C8">INDEX('Motivos detalle'!$B:$B,$B8)</f>
        <v>XLU</v>
      </c>
      <c r="D8" s="17" cm="1">
        <f t="array" ref="D8">INDEX('Motivos detalle'!$A:$A,$B8)</f>
        <v>42524</v>
      </c>
      <c r="E8" s="16" cm="1">
        <f t="array" ref="E8">INDEX('Motivos detalle'!$E:$E,$B8)</f>
        <v>1</v>
      </c>
      <c r="F8" s="18" cm="1">
        <f t="array" ref="F8">INDEX('Motivos detalle'!$F:$F,$B8)</f>
        <v>0.20039999999999999</v>
      </c>
      <c r="G8" s="19" cm="1">
        <f t="array" ref="G8">INDEX('Motivos detalle'!$G:$G,$B8)</f>
        <v>18.100000000000001</v>
      </c>
      <c r="H8" s="19" cm="1">
        <f t="array" ref="H8">INDEX('Motivos detalle'!$H:$H,$B8)</f>
        <v>17.98</v>
      </c>
      <c r="I8" s="18">
        <f t="shared" si="1"/>
        <v>6.6740823136819394E-3</v>
      </c>
      <c r="J8" s="16" cm="1">
        <f t="array" ref="J8">IFERROR(_xlfn.AGGREGATE(15,6,ROW('Motivos detalle'!$C$2:$C$274)/(('Motivos detalle'!$C$2:$C$274="SALE")*('Motivos detalle'!$B$2:$B$274=C8)*(ROW('Motivos detalle'!$C$2:$C$274)&gt;B8)),1),"")</f>
        <v>11</v>
      </c>
      <c r="K8" s="17" cm="1">
        <f t="array" ref="K8">IF($J8="","",INDEX('Motivos detalle'!$A:$A,$J8))</f>
        <v>42587</v>
      </c>
      <c r="L8" s="19" cm="1">
        <f t="array" ref="L8">IF($J8="","",INDEX('Motivos detalle'!$G:$G,$J8))</f>
        <v>18.48</v>
      </c>
      <c r="M8" s="19" cm="1">
        <f t="array" ref="M8">IF($J8="","",INDEX('Motivos detalle'!$H:$H,$J8))</f>
        <v>18.64</v>
      </c>
      <c r="N8" s="16" t="str" cm="1">
        <f t="array" ref="N8">IF($J8="","Abierto",INDEX('Motivos detalle'!$D:$D,$J8))</f>
        <v>ruptura piso Donchian</v>
      </c>
      <c r="O8" s="16" cm="1">
        <f t="array" ref="O8">IF($J8="","",INDEX('Motivos detalle'!$E:$E,$J8))</f>
        <v>1</v>
      </c>
      <c r="P8">
        <f t="shared" si="2"/>
        <v>63</v>
      </c>
      <c r="Q8" s="14">
        <f t="shared" si="3"/>
        <v>2.0994475138121471E-2</v>
      </c>
      <c r="R8" t="str">
        <f t="shared" si="4"/>
        <v>Ganador</v>
      </c>
      <c r="S8" t="str">
        <f>VLOOKUP(F8,Parametros!$A$25:$B$29,2,TRUE)</f>
        <v>15% a 30%</v>
      </c>
      <c r="T8" s="14">
        <f t="shared" si="5"/>
        <v>-8.5836909871245259E-3</v>
      </c>
      <c r="U8" cm="1">
        <f t="array" ref="U8">IF(J8="","",IFERROR(_xlfn.AGGREGATE(15,6,ROW('Motivos detalle'!$C$2:$C$274)/(('Motivos detalle'!$C$2:$C$274="ENTRA")*('Motivos detalle'!$B$2:$B$274=C8)*(ROW('Motivos detalle'!$C$2:$C$274)&gt;J8)),1),""))</f>
        <v>16</v>
      </c>
      <c r="V8" s="17" cm="1">
        <f t="array" ref="V8">IF(U8="","",INDEX('Motivos detalle'!$A:$A,U8))</f>
        <v>42634</v>
      </c>
      <c r="W8">
        <f t="shared" si="6"/>
        <v>47</v>
      </c>
      <c r="X8" s="19" cm="1">
        <f t="array" ref="X8">IF(U8="","",INDEX('Motivos detalle'!$G:$G,U8))</f>
        <v>18.62</v>
      </c>
      <c r="Y8" t="str">
        <f>IF(W8="","No",IF(W8&lt;Parametros!$B$4,"Sí","No"))</f>
        <v>No</v>
      </c>
      <c r="Z8" s="14" t="str">
        <f t="shared" si="7"/>
        <v/>
      </c>
      <c r="AA8" t="str">
        <f>IF(F8&gt;Parametros!$B$7,"Sí","No")</f>
        <v>Sí</v>
      </c>
      <c r="AB8" s="15">
        <f>VLOOKUP(YEAR(D8),Parametros!$A$11:$B$21,2,FALSE)</f>
        <v>3.0000000000000001E-3</v>
      </c>
      <c r="AC8" t="str">
        <f t="shared" si="8"/>
        <v>Sí</v>
      </c>
      <c r="AD8" t="str">
        <f>IF(N8="ruptura piso Donchian",IF(T8&gt;-Parametros!$B$6,"Sí","No"),"")</f>
        <v>No</v>
      </c>
      <c r="AE8" s="15">
        <f>IF(J8="","",(L8*(1-Parametros!$B$32))/(G8*(1+Parametros!$B$32))-1)</f>
        <v>1.6918648890065002E-2</v>
      </c>
      <c r="AF8" s="15">
        <f t="shared" si="9"/>
        <v>4.0758262480564689E-3</v>
      </c>
    </row>
    <row r="9" spans="1:32" x14ac:dyDescent="0.3">
      <c r="A9">
        <f t="shared" si="0"/>
        <v>6</v>
      </c>
      <c r="B9" cm="1">
        <f t="array" ref="B9">IFERROR(_xlfn.AGGREGATE(15,6,ROW('Motivos detalle'!$C$2:$C$274)/('Motivos detalle'!$C$2:$C$274="ENTRA"),A9),"")</f>
        <v>10</v>
      </c>
      <c r="C9" s="16" t="str" cm="1">
        <f t="array" ref="C9">INDEX('Motivos detalle'!$B:$B,$B9)</f>
        <v>XLK</v>
      </c>
      <c r="D9" s="17" cm="1">
        <f t="array" ref="D9">INDEX('Motivos detalle'!$A:$A,$B9)</f>
        <v>42562</v>
      </c>
      <c r="E9" s="16" cm="1">
        <f t="array" ref="E9">INDEX('Motivos detalle'!$E:$E,$B9)</f>
        <v>3</v>
      </c>
      <c r="F9" s="18" cm="1">
        <f t="array" ref="F9">INDEX('Motivos detalle'!$F:$F,$B9)</f>
        <v>9.2200000000000004E-2</v>
      </c>
      <c r="G9" s="19" cm="1">
        <f t="array" ref="G9">INDEX('Motivos detalle'!$G:$G,$B9)</f>
        <v>19.98</v>
      </c>
      <c r="H9" s="19" cm="1">
        <f t="array" ref="H9">INDEX('Motivos detalle'!$H:$H,$B9)</f>
        <v>19.88</v>
      </c>
      <c r="I9" s="18">
        <f t="shared" si="1"/>
        <v>5.0301810865192031E-3</v>
      </c>
      <c r="J9" s="16" cm="1">
        <f t="array" ref="J9">IFERROR(_xlfn.AGGREGATE(15,6,ROW('Motivos detalle'!$C$2:$C$274)/(('Motivos detalle'!$C$2:$C$274="SALE")*('Motivos detalle'!$B$2:$B$274=C9)*(ROW('Motivos detalle'!$C$2:$C$274)&gt;B9)),1),"")</f>
        <v>14</v>
      </c>
      <c r="K9" s="17" cm="1">
        <f t="array" ref="K9">IF($J9="","",INDEX('Motivos detalle'!$A:$A,$J9))</f>
        <v>42622</v>
      </c>
      <c r="L9" s="19" cm="1">
        <f t="array" ref="L9">IF($J9="","",INDEX('Motivos detalle'!$G:$G,$J9))</f>
        <v>20.78</v>
      </c>
      <c r="M9" s="19" cm="1">
        <f t="array" ref="M9">IF($J9="","",INDEX('Motivos detalle'!$H:$H,$J9))</f>
        <v>21.02</v>
      </c>
      <c r="N9" s="16" t="str" cm="1">
        <f t="array" ref="N9">IF($J9="","Abierto",INDEX('Motivos detalle'!$D:$D,$J9))</f>
        <v>ruptura piso Donchian</v>
      </c>
      <c r="O9" s="16" cm="1">
        <f t="array" ref="O9">IF($J9="","",INDEX('Motivos detalle'!$E:$E,$J9))</f>
        <v>2</v>
      </c>
      <c r="P9">
        <f t="shared" si="2"/>
        <v>60</v>
      </c>
      <c r="Q9" s="14">
        <f t="shared" si="3"/>
        <v>4.0040040040040026E-2</v>
      </c>
      <c r="R9" t="str">
        <f t="shared" si="4"/>
        <v>Ganador</v>
      </c>
      <c r="S9" t="str">
        <f>VLOOKUP(F9,Parametros!$A$25:$B$29,2,TRUE)</f>
        <v>5% a 15%</v>
      </c>
      <c r="T9" s="14">
        <f t="shared" si="5"/>
        <v>-1.1417697431018059E-2</v>
      </c>
      <c r="U9" cm="1">
        <f t="array" ref="U9">IF(J9="","",IFERROR(_xlfn.AGGREGATE(15,6,ROW('Motivos detalle'!$C$2:$C$274)/(('Motivos detalle'!$C$2:$C$274="ENTRA")*('Motivos detalle'!$B$2:$B$274=C9)*(ROW('Motivos detalle'!$C$2:$C$274)&gt;J9)),1),""))</f>
        <v>17</v>
      </c>
      <c r="V9" s="17" cm="1">
        <f t="array" ref="V9">IF(U9="","",INDEX('Motivos detalle'!$A:$A,U9))</f>
        <v>42635</v>
      </c>
      <c r="W9">
        <f t="shared" si="6"/>
        <v>13</v>
      </c>
      <c r="X9" s="19" cm="1">
        <f t="array" ref="X9">IF(U9="","",INDEX('Motivos detalle'!$G:$G,U9))</f>
        <v>21.65</v>
      </c>
      <c r="Y9" t="str">
        <f>IF(W9="","No",IF(W9&lt;Parametros!$B$4,"Sí","No"))</f>
        <v>No</v>
      </c>
      <c r="Z9" s="14" t="str">
        <f t="shared" si="7"/>
        <v/>
      </c>
      <c r="AA9" t="str">
        <f>IF(F9&gt;Parametros!$B$7,"Sí","No")</f>
        <v>Sí</v>
      </c>
      <c r="AB9" s="15">
        <f>VLOOKUP(YEAR(D9),Parametros!$A$11:$B$21,2,FALSE)</f>
        <v>3.0000000000000001E-3</v>
      </c>
      <c r="AC9" t="str">
        <f t="shared" si="8"/>
        <v>Sí</v>
      </c>
      <c r="AD9" t="str">
        <f>IF(N9="ruptura piso Donchian",IF(T9&gt;-Parametros!$B$6,"Sí","No"),"")</f>
        <v>No</v>
      </c>
      <c r="AE9" s="15">
        <f>IF(J9="","",(L9*(1-Parametros!$B$32))/(G9*(1+Parametros!$B$32))-1)</f>
        <v>3.5888183592774459E-2</v>
      </c>
      <c r="AF9" s="15">
        <f t="shared" si="9"/>
        <v>4.1518564472655672E-3</v>
      </c>
    </row>
    <row r="10" spans="1:32" x14ac:dyDescent="0.3">
      <c r="A10">
        <f t="shared" si="0"/>
        <v>7</v>
      </c>
      <c r="B10" cm="1">
        <f t="array" ref="B10">IFERROR(_xlfn.AGGREGATE(15,6,ROW('Motivos detalle'!$C$2:$C$274)/('Motivos detalle'!$C$2:$C$274="ENTRA"),A10),"")</f>
        <v>12</v>
      </c>
      <c r="C10" s="16" t="str" cm="1">
        <f t="array" ref="C10">INDEX('Motivos detalle'!$B:$B,$B10)</f>
        <v>XLB</v>
      </c>
      <c r="D10" s="17" cm="1">
        <f t="array" ref="D10">INDEX('Motivos detalle'!$A:$A,$B10)</f>
        <v>42605</v>
      </c>
      <c r="E10" s="16" cm="1">
        <f t="array" ref="E10">INDEX('Motivos detalle'!$E:$E,$B10)</f>
        <v>3</v>
      </c>
      <c r="F10" s="18" cm="1">
        <f t="array" ref="F10">INDEX('Motivos detalle'!$F:$F,$B10)</f>
        <v>0.21820000000000001</v>
      </c>
      <c r="G10" s="19" cm="1">
        <f t="array" ref="G10">INDEX('Motivos detalle'!$G:$G,$B10)</f>
        <v>20.2</v>
      </c>
      <c r="H10" s="19" cm="1">
        <f t="array" ref="H10">INDEX('Motivos detalle'!$H:$H,$B10)</f>
        <v>20.14</v>
      </c>
      <c r="I10" s="18">
        <f t="shared" si="1"/>
        <v>2.9791459781529639E-3</v>
      </c>
      <c r="J10" s="16" cm="1">
        <f t="array" ref="J10">IFERROR(_xlfn.AGGREGATE(15,6,ROW('Motivos detalle'!$C$2:$C$274)/(('Motivos detalle'!$C$2:$C$274="SALE")*('Motivos detalle'!$B$2:$B$274=C10)*(ROW('Motivos detalle'!$C$2:$C$274)&gt;B10)),1),"")</f>
        <v>15</v>
      </c>
      <c r="K10" s="17" cm="1">
        <f t="array" ref="K10">IF($J10="","",INDEX('Motivos detalle'!$A:$A,$J10))</f>
        <v>42622</v>
      </c>
      <c r="L10" s="19" cm="1">
        <f t="array" ref="L10">IF($J10="","",INDEX('Motivos detalle'!$G:$G,$J10))</f>
        <v>19.43</v>
      </c>
      <c r="M10" s="19" cm="1">
        <f t="array" ref="M10">IF($J10="","",INDEX('Motivos detalle'!$H:$H,$J10))</f>
        <v>19.739999999999998</v>
      </c>
      <c r="N10" s="16" t="str" cm="1">
        <f t="array" ref="N10">IF($J10="","Abierto",INDEX('Motivos detalle'!$D:$D,$J10))</f>
        <v>ruptura piso Donchian</v>
      </c>
      <c r="O10" s="16" cm="1">
        <f t="array" ref="O10">IF($J10="","",INDEX('Motivos detalle'!$E:$E,$J10))</f>
        <v>5</v>
      </c>
      <c r="P10">
        <f t="shared" si="2"/>
        <v>17</v>
      </c>
      <c r="Q10" s="14">
        <f t="shared" si="3"/>
        <v>-3.8118811881188153E-2</v>
      </c>
      <c r="R10" t="str">
        <f t="shared" si="4"/>
        <v>Perdedor</v>
      </c>
      <c r="S10" t="str">
        <f>VLOOKUP(F10,Parametros!$A$25:$B$29,2,TRUE)</f>
        <v>15% a 30%</v>
      </c>
      <c r="T10" s="14">
        <f t="shared" si="5"/>
        <v>-1.5704154002026294E-2</v>
      </c>
      <c r="U10" cm="1">
        <f t="array" ref="U10">IF(J10="","",IFERROR(_xlfn.AGGREGATE(15,6,ROW('Motivos detalle'!$C$2:$C$274)/(('Motivos detalle'!$C$2:$C$274="ENTRA")*('Motivos detalle'!$B$2:$B$274=C10)*(ROW('Motivos detalle'!$C$2:$C$274)&gt;J10)),1),""))</f>
        <v>23</v>
      </c>
      <c r="V10" s="17" cm="1">
        <f t="array" ref="V10">IF(U10="","",INDEX('Motivos detalle'!$A:$A,U10))</f>
        <v>42684</v>
      </c>
      <c r="W10">
        <f t="shared" si="6"/>
        <v>62</v>
      </c>
      <c r="X10" s="19" cm="1">
        <f t="array" ref="X10">IF(U10="","",INDEX('Motivos detalle'!$G:$G,U10))</f>
        <v>20.09</v>
      </c>
      <c r="Y10" t="str">
        <f>IF(W10="","No",IF(W10&lt;Parametros!$B$4,"Sí","No"))</f>
        <v>No</v>
      </c>
      <c r="Z10" s="14" t="str">
        <f t="shared" si="7"/>
        <v/>
      </c>
      <c r="AA10" t="str">
        <f>IF(F10&gt;Parametros!$B$7,"Sí","No")</f>
        <v>Sí</v>
      </c>
      <c r="AB10" s="15">
        <f>VLOOKUP(YEAR(D10),Parametros!$A$11:$B$21,2,FALSE)</f>
        <v>3.0000000000000001E-3</v>
      </c>
      <c r="AC10" t="str">
        <f t="shared" si="8"/>
        <v>Sí</v>
      </c>
      <c r="AD10" t="str">
        <f>IF(N10="ruptura piso Donchian",IF(T10&gt;-Parametros!$B$6,"Sí","No"),"")</f>
        <v>No</v>
      </c>
      <c r="AE10" s="15">
        <f>IF(J10="","",(L10*(1-Parametros!$B$32))/(G10*(1+Parametros!$B$32))-1)</f>
        <v>-4.195865694353873E-2</v>
      </c>
      <c r="AF10" s="15">
        <f t="shared" si="9"/>
        <v>3.8398450623505775E-3</v>
      </c>
    </row>
    <row r="11" spans="1:32" x14ac:dyDescent="0.3">
      <c r="A11">
        <f t="shared" si="0"/>
        <v>8</v>
      </c>
      <c r="B11" cm="1">
        <f t="array" ref="B11">IFERROR(_xlfn.AGGREGATE(15,6,ROW('Motivos detalle'!$C$2:$C$274)/('Motivos detalle'!$C$2:$C$274="ENTRA"),A11),"")</f>
        <v>16</v>
      </c>
      <c r="C11" s="16" t="str" cm="1">
        <f t="array" ref="C11">INDEX('Motivos detalle'!$B:$B,$B11)</f>
        <v>XLU</v>
      </c>
      <c r="D11" s="17" cm="1">
        <f t="array" ref="D11">INDEX('Motivos detalle'!$A:$A,$B11)</f>
        <v>42634</v>
      </c>
      <c r="E11" s="16" cm="1">
        <f t="array" ref="E11">INDEX('Motivos detalle'!$E:$E,$B11)</f>
        <v>1</v>
      </c>
      <c r="F11" s="18" cm="1">
        <f t="array" ref="F11">INDEX('Motivos detalle'!$F:$F,$B11)</f>
        <v>0.2525</v>
      </c>
      <c r="G11" s="19" cm="1">
        <f t="array" ref="G11">INDEX('Motivos detalle'!$G:$G,$B11)</f>
        <v>18.62</v>
      </c>
      <c r="H11" s="19" cm="1">
        <f t="array" ref="H11">INDEX('Motivos detalle'!$H:$H,$B11)</f>
        <v>18.48</v>
      </c>
      <c r="I11" s="18">
        <f t="shared" si="1"/>
        <v>7.575757575757569E-3</v>
      </c>
      <c r="J11" s="16" cm="1">
        <f t="array" ref="J11">IFERROR(_xlfn.AGGREGATE(15,6,ROW('Motivos detalle'!$C$2:$C$274)/(('Motivos detalle'!$C$2:$C$274="SALE")*('Motivos detalle'!$B$2:$B$274=C11)*(ROW('Motivos detalle'!$C$2:$C$274)&gt;B11)),1),"")</f>
        <v>18</v>
      </c>
      <c r="K11" s="17" cm="1">
        <f t="array" ref="K11">IF($J11="","",INDEX('Motivos detalle'!$A:$A,$J11))</f>
        <v>42647</v>
      </c>
      <c r="L11" s="19" cm="1">
        <f t="array" ref="L11">IF($J11="","",INDEX('Motivos detalle'!$G:$G,$J11))</f>
        <v>17.38</v>
      </c>
      <c r="M11" s="19" cm="1">
        <f t="array" ref="M11">IF($J11="","",INDEX('Motivos detalle'!$H:$H,$J11))</f>
        <v>17.63</v>
      </c>
      <c r="N11" s="16" t="str" cm="1">
        <f t="array" ref="N11">IF($J11="","Abierto",INDEX('Motivos detalle'!$D:$D,$J11))</f>
        <v>ruptura piso Donchian</v>
      </c>
      <c r="O11" s="16" cm="1">
        <f t="array" ref="O11">IF($J11="","",INDEX('Motivos detalle'!$E:$E,$J11))</f>
        <v>4</v>
      </c>
      <c r="P11">
        <f t="shared" si="2"/>
        <v>13</v>
      </c>
      <c r="Q11" s="14">
        <f t="shared" si="3"/>
        <v>-6.6595059076262175E-2</v>
      </c>
      <c r="R11" t="str">
        <f t="shared" si="4"/>
        <v>Perdedor</v>
      </c>
      <c r="S11" t="str">
        <f>VLOOKUP(F11,Parametros!$A$25:$B$29,2,TRUE)</f>
        <v>15% a 30%</v>
      </c>
      <c r="T11" s="14">
        <f t="shared" si="5"/>
        <v>-1.418037436188313E-2</v>
      </c>
      <c r="U11" cm="1">
        <f t="array" ref="U11">IF(J11="","",IFERROR(_xlfn.AGGREGATE(15,6,ROW('Motivos detalle'!$C$2:$C$274)/(('Motivos detalle'!$C$2:$C$274="ENTRA")*('Motivos detalle'!$B$2:$B$274=C11)*(ROW('Motivos detalle'!$C$2:$C$274)&gt;J11)),1),""))</f>
        <v>19</v>
      </c>
      <c r="V11" s="17" cm="1">
        <f t="array" ref="V11">IF(U11="","",INDEX('Motivos detalle'!$A:$A,U11))</f>
        <v>42674</v>
      </c>
      <c r="W11">
        <f t="shared" si="6"/>
        <v>27</v>
      </c>
      <c r="X11" s="19" cm="1">
        <f t="array" ref="X11">IF(U11="","",INDEX('Motivos detalle'!$G:$G,U11))</f>
        <v>18.16</v>
      </c>
      <c r="Y11" t="str">
        <f>IF(W11="","No",IF(W11&lt;Parametros!$B$4,"Sí","No"))</f>
        <v>No</v>
      </c>
      <c r="Z11" s="14" t="str">
        <f t="shared" si="7"/>
        <v/>
      </c>
      <c r="AA11" t="str">
        <f>IF(F11&gt;Parametros!$B$7,"Sí","No")</f>
        <v>Sí</v>
      </c>
      <c r="AB11" s="15">
        <f>VLOOKUP(YEAR(D11),Parametros!$A$11:$B$21,2,FALSE)</f>
        <v>3.0000000000000001E-3</v>
      </c>
      <c r="AC11" t="str">
        <f t="shared" si="8"/>
        <v>Sí</v>
      </c>
      <c r="AD11" t="str">
        <f>IF(N11="ruptura piso Donchian",IF(T11&gt;-Parametros!$B$6,"Sí","No"),"")</f>
        <v>No</v>
      </c>
      <c r="AE11" s="15">
        <f>IF(J11="","",(L11*(1-Parametros!$B$32))/(G11*(1+Parametros!$B$32))-1)</f>
        <v>-7.0321226505099421E-2</v>
      </c>
      <c r="AF11" s="15">
        <f t="shared" si="9"/>
        <v>3.7261674288372459E-3</v>
      </c>
    </row>
    <row r="12" spans="1:32" x14ac:dyDescent="0.3">
      <c r="A12">
        <f t="shared" si="0"/>
        <v>9</v>
      </c>
      <c r="B12" cm="1">
        <f t="array" ref="B12">IFERROR(_xlfn.AGGREGATE(15,6,ROW('Motivos detalle'!$C$2:$C$274)/('Motivos detalle'!$C$2:$C$274="ENTRA"),A12),"")</f>
        <v>17</v>
      </c>
      <c r="C12" s="16" t="str" cm="1">
        <f t="array" ref="C12">INDEX('Motivos detalle'!$B:$B,$B12)</f>
        <v>XLK</v>
      </c>
      <c r="D12" s="17" cm="1">
        <f t="array" ref="D12">INDEX('Motivos detalle'!$A:$A,$B12)</f>
        <v>42635</v>
      </c>
      <c r="E12" s="16" cm="1">
        <f t="array" ref="E12">INDEX('Motivos detalle'!$E:$E,$B12)</f>
        <v>2</v>
      </c>
      <c r="F12" s="18" cm="1">
        <f t="array" ref="F12">INDEX('Motivos detalle'!$F:$F,$B12)</f>
        <v>0.22439999999999999</v>
      </c>
      <c r="G12" s="19" cm="1">
        <f t="array" ref="G12">INDEX('Motivos detalle'!$G:$G,$B12)</f>
        <v>21.65</v>
      </c>
      <c r="H12" s="19" cm="1">
        <f t="array" ref="H12">INDEX('Motivos detalle'!$H:$H,$B12)</f>
        <v>21.54</v>
      </c>
      <c r="I12" s="18">
        <f t="shared" si="1"/>
        <v>5.106778087279551E-3</v>
      </c>
      <c r="J12" s="16" cm="1">
        <f t="array" ref="J12">IFERROR(_xlfn.AGGREGATE(15,6,ROW('Motivos detalle'!$C$2:$C$274)/(('Motivos detalle'!$C$2:$C$274="SALE")*('Motivos detalle'!$B$2:$B$274=C12)*(ROW('Motivos detalle'!$C$2:$C$274)&gt;B12)),1),"")</f>
        <v>20</v>
      </c>
      <c r="K12" s="17" cm="1">
        <f t="array" ref="K12">IF($J12="","",INDEX('Motivos detalle'!$A:$A,$J12))</f>
        <v>42677</v>
      </c>
      <c r="L12" s="19" cm="1">
        <f t="array" ref="L12">IF($J12="","",INDEX('Motivos detalle'!$G:$G,$J12))</f>
        <v>20.91</v>
      </c>
      <c r="M12" s="19" cm="1">
        <f t="array" ref="M12">IF($J12="","",INDEX('Motivos detalle'!$H:$H,$J12))</f>
        <v>21.06</v>
      </c>
      <c r="N12" s="16" t="str" cm="1">
        <f t="array" ref="N12">IF($J12="","Abierto",INDEX('Motivos detalle'!$D:$D,$J12))</f>
        <v>ruptura piso Donchian</v>
      </c>
      <c r="O12" s="16" cm="1">
        <f t="array" ref="O12">IF($J12="","",INDEX('Motivos detalle'!$E:$E,$J12))</f>
        <v>3</v>
      </c>
      <c r="P12">
        <f t="shared" si="2"/>
        <v>42</v>
      </c>
      <c r="Q12" s="14">
        <f t="shared" si="3"/>
        <v>-3.4180138568129292E-2</v>
      </c>
      <c r="R12" t="str">
        <f t="shared" si="4"/>
        <v>Perdedor</v>
      </c>
      <c r="S12" t="str">
        <f>VLOOKUP(F12,Parametros!$A$25:$B$29,2,TRUE)</f>
        <v>15% a 30%</v>
      </c>
      <c r="T12" s="14">
        <f t="shared" si="5"/>
        <v>-7.1225071225070602E-3</v>
      </c>
      <c r="U12" cm="1">
        <f t="array" ref="U12">IF(J12="","",IFERROR(_xlfn.AGGREGATE(15,6,ROW('Motivos detalle'!$C$2:$C$274)/(('Motivos detalle'!$C$2:$C$274="ENTRA")*('Motivos detalle'!$B$2:$B$274=C12)*(ROW('Motivos detalle'!$C$2:$C$274)&gt;J12)),1),""))</f>
        <v>36</v>
      </c>
      <c r="V12" s="17" cm="1">
        <f t="array" ref="V12">IF(U12="","",INDEX('Motivos detalle'!$A:$A,U12))</f>
        <v>42850</v>
      </c>
      <c r="W12">
        <f t="shared" si="6"/>
        <v>173</v>
      </c>
      <c r="X12" s="19" cm="1">
        <f t="array" ref="X12">IF(U12="","",INDEX('Motivos detalle'!$G:$G,U12))</f>
        <v>24.64</v>
      </c>
      <c r="Y12" t="str">
        <f>IF(W12="","No",IF(W12&lt;Parametros!$B$4,"Sí","No"))</f>
        <v>No</v>
      </c>
      <c r="Z12" s="14" t="str">
        <f t="shared" si="7"/>
        <v/>
      </c>
      <c r="AA12" t="str">
        <f>IF(F12&gt;Parametros!$B$7,"Sí","No")</f>
        <v>Sí</v>
      </c>
      <c r="AB12" s="15">
        <f>VLOOKUP(YEAR(D12),Parametros!$A$11:$B$21,2,FALSE)</f>
        <v>3.0000000000000001E-3</v>
      </c>
      <c r="AC12" t="str">
        <f t="shared" si="8"/>
        <v>Sí</v>
      </c>
      <c r="AD12" t="str">
        <f>IF(N12="ruptura piso Donchian",IF(T12&gt;-Parametros!$B$6,"Sí","No"),"")</f>
        <v>No</v>
      </c>
      <c r="AE12" s="15">
        <f>IF(J12="","",(L12*(1-Parametros!$B$32))/(G12*(1+Parametros!$B$32))-1)</f>
        <v>-3.8035706877238562E-2</v>
      </c>
      <c r="AF12" s="15">
        <f t="shared" si="9"/>
        <v>3.8555683091092696E-3</v>
      </c>
    </row>
    <row r="13" spans="1:32" x14ac:dyDescent="0.3">
      <c r="A13">
        <f t="shared" si="0"/>
        <v>10</v>
      </c>
      <c r="B13" cm="1">
        <f t="array" ref="B13">IFERROR(_xlfn.AGGREGATE(15,6,ROW('Motivos detalle'!$C$2:$C$274)/('Motivos detalle'!$C$2:$C$274="ENTRA"),A13),"")</f>
        <v>19</v>
      </c>
      <c r="C13" s="16" t="str" cm="1">
        <f t="array" ref="C13">INDEX('Motivos detalle'!$B:$B,$B13)</f>
        <v>XLU</v>
      </c>
      <c r="D13" s="17" cm="1">
        <f t="array" ref="D13">INDEX('Motivos detalle'!$A:$A,$B13)</f>
        <v>42674</v>
      </c>
      <c r="E13" s="16" cm="1">
        <f t="array" ref="E13">INDEX('Motivos detalle'!$E:$E,$B13)</f>
        <v>1</v>
      </c>
      <c r="F13" s="18" cm="1">
        <f t="array" ref="F13">INDEX('Motivos detalle'!$F:$F,$B13)</f>
        <v>0.1694</v>
      </c>
      <c r="G13" s="19" cm="1">
        <f t="array" ref="G13">INDEX('Motivos detalle'!$G:$G,$B13)</f>
        <v>18.16</v>
      </c>
      <c r="H13" s="19" cm="1">
        <f t="array" ref="H13">INDEX('Motivos detalle'!$H:$H,$B13)</f>
        <v>18.010000000000002</v>
      </c>
      <c r="I13" s="18">
        <f t="shared" si="1"/>
        <v>8.3287062742920526E-3</v>
      </c>
      <c r="J13" s="16" cm="1">
        <f t="array" ref="J13">IFERROR(_xlfn.AGGREGATE(15,6,ROW('Motivos detalle'!$C$2:$C$274)/(('Motivos detalle'!$C$2:$C$274="SALE")*('Motivos detalle'!$B$2:$B$274=C13)*(ROW('Motivos detalle'!$C$2:$C$274)&gt;B13)),1),"")</f>
        <v>22</v>
      </c>
      <c r="K13" s="17" cm="1">
        <f t="array" ref="K13">IF($J13="","",INDEX('Motivos detalle'!$A:$A,$J13))</f>
        <v>42684</v>
      </c>
      <c r="L13" s="19" cm="1">
        <f t="array" ref="L13">IF($J13="","",INDEX('Motivos detalle'!$G:$G,$J13))</f>
        <v>16.989999999999998</v>
      </c>
      <c r="M13" s="19" cm="1">
        <f t="array" ref="M13">IF($J13="","",INDEX('Motivos detalle'!$H:$H,$J13))</f>
        <v>17.37</v>
      </c>
      <c r="N13" s="16" t="str" cm="1">
        <f t="array" ref="N13">IF($J13="","Abierto",INDEX('Motivos detalle'!$D:$D,$J13))</f>
        <v>ruptura piso Donchian</v>
      </c>
      <c r="O13" s="16" cm="1">
        <f t="array" ref="O13">IF($J13="","",INDEX('Motivos detalle'!$E:$E,$J13))</f>
        <v>3</v>
      </c>
      <c r="P13">
        <f t="shared" si="2"/>
        <v>10</v>
      </c>
      <c r="Q13" s="14">
        <f t="shared" si="3"/>
        <v>-6.4427312775330536E-2</v>
      </c>
      <c r="R13" t="str">
        <f t="shared" si="4"/>
        <v>Perdedor</v>
      </c>
      <c r="S13" t="str">
        <f>VLOOKUP(F13,Parametros!$A$25:$B$29,2,TRUE)</f>
        <v>15% a 30%</v>
      </c>
      <c r="T13" s="14">
        <f t="shared" si="5"/>
        <v>-2.1876799078871745E-2</v>
      </c>
      <c r="U13" cm="1">
        <f t="array" ref="U13">IF(J13="","",IFERROR(_xlfn.AGGREGATE(15,6,ROW('Motivos detalle'!$C$2:$C$274)/(('Motivos detalle'!$C$2:$C$274="ENTRA")*('Motivos detalle'!$B$2:$B$274=C13)*(ROW('Motivos detalle'!$C$2:$C$274)&gt;J13)),1),""))</f>
        <v>44</v>
      </c>
      <c r="V13" s="17" cm="1">
        <f t="array" ref="V13">IF(U13="","",INDEX('Motivos detalle'!$A:$A,U13))</f>
        <v>43052</v>
      </c>
      <c r="W13">
        <f t="shared" si="6"/>
        <v>368</v>
      </c>
      <c r="X13" s="19" cm="1">
        <f t="array" ref="X13">IF(U13="","",INDEX('Motivos detalle'!$G:$G,U13))</f>
        <v>21.33</v>
      </c>
      <c r="Y13" t="str">
        <f>IF(W13="","No",IF(W13&lt;Parametros!$B$4,"Sí","No"))</f>
        <v>No</v>
      </c>
      <c r="Z13" s="14" t="str">
        <f t="shared" si="7"/>
        <v/>
      </c>
      <c r="AA13" t="str">
        <f>IF(F13&gt;Parametros!$B$7,"Sí","No")</f>
        <v>Sí</v>
      </c>
      <c r="AB13" s="15">
        <f>VLOOKUP(YEAR(D13),Parametros!$A$11:$B$21,2,FALSE)</f>
        <v>3.0000000000000001E-3</v>
      </c>
      <c r="AC13" t="str">
        <f t="shared" si="8"/>
        <v>Sí</v>
      </c>
      <c r="AD13" t="str">
        <f>IF(N13="ruptura piso Donchian",IF(T13&gt;-Parametros!$B$6,"Sí","No"),"")</f>
        <v>No</v>
      </c>
      <c r="AE13" s="15">
        <f>IF(J13="","",(L13*(1-Parametros!$B$32))/(G13*(1+Parametros!$B$32))-1)</f>
        <v>-6.8162133882015752E-2</v>
      </c>
      <c r="AF13" s="15">
        <f t="shared" si="9"/>
        <v>3.7348211066852155E-3</v>
      </c>
    </row>
    <row r="14" spans="1:32" x14ac:dyDescent="0.3">
      <c r="A14">
        <f t="shared" si="0"/>
        <v>11</v>
      </c>
      <c r="B14" cm="1">
        <f t="array" ref="B14">IFERROR(_xlfn.AGGREGATE(15,6,ROW('Motivos detalle'!$C$2:$C$274)/('Motivos detalle'!$C$2:$C$274="ENTRA"),A14),"")</f>
        <v>21</v>
      </c>
      <c r="C14" s="16" t="str" cm="1">
        <f t="array" ref="C14">INDEX('Motivos detalle'!$B:$B,$B14)</f>
        <v>XLI</v>
      </c>
      <c r="D14" s="17" cm="1">
        <f t="array" ref="D14">INDEX('Motivos detalle'!$A:$A,$B14)</f>
        <v>42683</v>
      </c>
      <c r="E14" s="16" cm="1">
        <f t="array" ref="E14">INDEX('Motivos detalle'!$E:$E,$B14)</f>
        <v>2</v>
      </c>
      <c r="F14" s="18" cm="1">
        <f t="array" ref="F14">INDEX('Motivos detalle'!$F:$F,$B14)</f>
        <v>0.1208</v>
      </c>
      <c r="G14" s="19" cm="1">
        <f t="array" ref="G14">INDEX('Motivos detalle'!$G:$G,$B14)</f>
        <v>50.51</v>
      </c>
      <c r="H14" s="19" cm="1">
        <f t="array" ref="H14">INDEX('Motivos detalle'!$H:$H,$B14)</f>
        <v>49.43</v>
      </c>
      <c r="I14" s="18">
        <f t="shared" si="1"/>
        <v>2.1849079506372604E-2</v>
      </c>
      <c r="J14" s="16" cm="1">
        <f t="array" ref="J14">IFERROR(_xlfn.AGGREGATE(15,6,ROW('Motivos detalle'!$C$2:$C$274)/(('Motivos detalle'!$C$2:$C$274="SALE")*('Motivos detalle'!$B$2:$B$274=C14)*(ROW('Motivos detalle'!$C$2:$C$274)&gt;B14)),1),"")</f>
        <v>33</v>
      </c>
      <c r="K14" s="17" cm="1">
        <f t="array" ref="K14">IF($J14="","",INDEX('Motivos detalle'!$A:$A,$J14))</f>
        <v>42815</v>
      </c>
      <c r="L14" s="19" cm="1">
        <f t="array" ref="L14">IF($J14="","",INDEX('Motivos detalle'!$G:$G,$J14))</f>
        <v>55.24</v>
      </c>
      <c r="M14" s="19" cm="1">
        <f t="array" ref="M14">IF($J14="","",INDEX('Motivos detalle'!$H:$H,$J14))</f>
        <v>55.4</v>
      </c>
      <c r="N14" s="16" t="str" cm="1">
        <f t="array" ref="N14">IF($J14="","Abierto",INDEX('Motivos detalle'!$D:$D,$J14))</f>
        <v>ruptura piso Donchian</v>
      </c>
      <c r="O14" s="16" cm="1">
        <f t="array" ref="O14">IF($J14="","",INDEX('Motivos detalle'!$E:$E,$J14))</f>
        <v>3</v>
      </c>
      <c r="P14">
        <f t="shared" si="2"/>
        <v>132</v>
      </c>
      <c r="Q14" s="14">
        <f t="shared" si="3"/>
        <v>9.3644822807364969E-2</v>
      </c>
      <c r="R14" t="str">
        <f t="shared" si="4"/>
        <v>Ganador</v>
      </c>
      <c r="S14" t="str">
        <f>VLOOKUP(F14,Parametros!$A$25:$B$29,2,TRUE)</f>
        <v>5% a 15%</v>
      </c>
      <c r="T14" s="14">
        <f t="shared" si="5"/>
        <v>-2.888086642599208E-3</v>
      </c>
      <c r="U14" cm="1">
        <f t="array" ref="U14">IF(J14="","",IFERROR(_xlfn.AGGREGATE(15,6,ROW('Motivos detalle'!$C$2:$C$274)/(('Motivos detalle'!$C$2:$C$274="ENTRA")*('Motivos detalle'!$B$2:$B$274=C14)*(ROW('Motivos detalle'!$C$2:$C$274)&gt;J14)),1),""))</f>
        <v>35</v>
      </c>
      <c r="V14" s="17" cm="1">
        <f t="array" ref="V14">IF(U14="","",INDEX('Motivos detalle'!$A:$A,U14))</f>
        <v>42849</v>
      </c>
      <c r="W14">
        <f t="shared" si="6"/>
        <v>34</v>
      </c>
      <c r="X14" s="19" cm="1">
        <f t="array" ref="X14">IF(U14="","",INDEX('Motivos detalle'!$G:$G,U14))</f>
        <v>56.76</v>
      </c>
      <c r="Y14" t="str">
        <f>IF(W14="","No",IF(W14&lt;Parametros!$B$4,"Sí","No"))</f>
        <v>No</v>
      </c>
      <c r="Z14" s="14" t="str">
        <f t="shared" si="7"/>
        <v/>
      </c>
      <c r="AA14" t="str">
        <f>IF(F14&gt;Parametros!$B$7,"Sí","No")</f>
        <v>Sí</v>
      </c>
      <c r="AB14" s="15">
        <f>VLOOKUP(YEAR(D14),Parametros!$A$11:$B$21,2,FALSE)</f>
        <v>3.0000000000000001E-3</v>
      </c>
      <c r="AC14" t="str">
        <f t="shared" si="8"/>
        <v>Sí</v>
      </c>
      <c r="AD14" t="str">
        <f>IF(N14="ruptura piso Donchian",IF(T14&gt;-Parametros!$B$6,"Sí","No"),"")</f>
        <v>Sí</v>
      </c>
      <c r="AE14" s="15">
        <f>IF(J14="","",(L14*(1-Parametros!$B$32))/(G14*(1+Parametros!$B$32))-1)</f>
        <v>8.927897521132766E-2</v>
      </c>
      <c r="AF14" s="15">
        <f t="shared" si="9"/>
        <v>4.3658475960373089E-3</v>
      </c>
    </row>
    <row r="15" spans="1:32" x14ac:dyDescent="0.3">
      <c r="A15">
        <f t="shared" si="0"/>
        <v>12</v>
      </c>
      <c r="B15" cm="1">
        <f t="array" ref="B15">IFERROR(_xlfn.AGGREGATE(15,6,ROW('Motivos detalle'!$C$2:$C$274)/('Motivos detalle'!$C$2:$C$274="ENTRA"),A15),"")</f>
        <v>23</v>
      </c>
      <c r="C15" s="16" t="str" cm="1">
        <f t="array" ref="C15">INDEX('Motivos detalle'!$B:$B,$B15)</f>
        <v>XLB</v>
      </c>
      <c r="D15" s="17" cm="1">
        <f t="array" ref="D15">INDEX('Motivos detalle'!$A:$A,$B15)</f>
        <v>42684</v>
      </c>
      <c r="E15" s="16" cm="1">
        <f t="array" ref="E15">INDEX('Motivos detalle'!$E:$E,$B15)</f>
        <v>2</v>
      </c>
      <c r="F15" s="18" cm="1">
        <f t="array" ref="F15">INDEX('Motivos detalle'!$F:$F,$B15)</f>
        <v>0.1144</v>
      </c>
      <c r="G15" s="19" cm="1">
        <f t="array" ref="G15">INDEX('Motivos detalle'!$G:$G,$B15)</f>
        <v>20.09</v>
      </c>
      <c r="H15" s="19" cm="1">
        <f t="array" ref="H15">INDEX('Motivos detalle'!$H:$H,$B15)</f>
        <v>19.91</v>
      </c>
      <c r="I15" s="18">
        <f t="shared" si="1"/>
        <v>9.0406830738323229E-3</v>
      </c>
      <c r="J15" s="16" cm="1">
        <f t="array" ref="J15">IFERROR(_xlfn.AGGREGATE(15,6,ROW('Motivos detalle'!$C$2:$C$274)/(('Motivos detalle'!$C$2:$C$274="SALE")*('Motivos detalle'!$B$2:$B$274=C15)*(ROW('Motivos detalle'!$C$2:$C$274)&gt;B15)),1),"")</f>
        <v>25</v>
      </c>
      <c r="K15" s="17" cm="1">
        <f t="array" ref="K15">IF($J15="","",INDEX('Motivos detalle'!$A:$A,$J15))</f>
        <v>42692</v>
      </c>
      <c r="L15" s="19" cm="1">
        <f t="array" ref="L15">IF($J15="","",INDEX('Motivos detalle'!$G:$G,$J15))</f>
        <v>19.89</v>
      </c>
      <c r="M15" s="19" cm="1">
        <f t="array" ref="M15">IF($J15="","",INDEX('Motivos detalle'!$H:$H,$J15))</f>
        <v>18.98</v>
      </c>
      <c r="N15" s="16" t="str" cm="1">
        <f t="array" ref="N15">IF($J15="","Abierto",INDEX('Motivos detalle'!$D:$D,$J15))</f>
        <v>cae del ranking (&gt;#5)</v>
      </c>
      <c r="O15" s="16" cm="1">
        <f t="array" ref="O15">IF($J15="","",INDEX('Motivos detalle'!$E:$E,$J15))</f>
        <v>6</v>
      </c>
      <c r="P15">
        <f t="shared" si="2"/>
        <v>8</v>
      </c>
      <c r="Q15" s="14">
        <f t="shared" si="3"/>
        <v>-9.9552015928322524E-3</v>
      </c>
      <c r="R15" t="str">
        <f t="shared" si="4"/>
        <v>Perdedor</v>
      </c>
      <c r="S15" t="str">
        <f>VLOOKUP(F15,Parametros!$A$25:$B$29,2,TRUE)</f>
        <v>5% a 15%</v>
      </c>
      <c r="T15" s="14" t="str">
        <f t="shared" si="5"/>
        <v/>
      </c>
      <c r="U15" cm="1">
        <f t="array" ref="U15">IF(J15="","",IFERROR(_xlfn.AGGREGATE(15,6,ROW('Motivos detalle'!$C$2:$C$274)/(('Motivos detalle'!$C$2:$C$274="ENTRA")*('Motivos detalle'!$B$2:$B$274=C15)*(ROW('Motivos detalle'!$C$2:$C$274)&gt;J15)),1),""))</f>
        <v>31</v>
      </c>
      <c r="V15" s="17" cm="1">
        <f t="array" ref="V15">IF(U15="","",INDEX('Motivos detalle'!$A:$A,U15))</f>
        <v>42759</v>
      </c>
      <c r="W15">
        <f t="shared" si="6"/>
        <v>67</v>
      </c>
      <c r="X15" s="19" cm="1">
        <f t="array" ref="X15">IF(U15="","",INDEX('Motivos detalle'!$G:$G,U15))</f>
        <v>21.76</v>
      </c>
      <c r="Y15" t="str">
        <f>IF(W15="","No",IF(W15&lt;Parametros!$B$4,"Sí","No"))</f>
        <v>No</v>
      </c>
      <c r="Z15" s="14" t="str">
        <f t="shared" si="7"/>
        <v/>
      </c>
      <c r="AA15" t="str">
        <f>IF(F15&gt;Parametros!$B$7,"Sí","No")</f>
        <v>Sí</v>
      </c>
      <c r="AB15" s="15">
        <f>VLOOKUP(YEAR(D15),Parametros!$A$11:$B$21,2,FALSE)</f>
        <v>3.0000000000000001E-3</v>
      </c>
      <c r="AC15" t="str">
        <f t="shared" si="8"/>
        <v>Sí</v>
      </c>
      <c r="AD15" t="str">
        <f>IF(N15="ruptura piso Donchian",IF(T15&gt;-Parametros!$B$6,"Sí","No"),"")</f>
        <v/>
      </c>
      <c r="AE15" s="15">
        <f>IF(J15="","",(L15*(1-Parametros!$B$32))/(G15*(1+Parametros!$B$32))-1)</f>
        <v>-1.3907476237172256E-2</v>
      </c>
      <c r="AF15" s="15">
        <f t="shared" si="9"/>
        <v>3.9522746443400036E-3</v>
      </c>
    </row>
    <row r="16" spans="1:32" x14ac:dyDescent="0.3">
      <c r="A16">
        <f t="shared" si="0"/>
        <v>13</v>
      </c>
      <c r="B16" cm="1">
        <f t="array" ref="B16">IFERROR(_xlfn.AGGREGATE(15,6,ROW('Motivos detalle'!$C$2:$C$274)/('Motivos detalle'!$C$2:$C$274="ENTRA"),A16),"")</f>
        <v>24</v>
      </c>
      <c r="C16" s="16" t="str" cm="1">
        <f t="array" ref="C16">INDEX('Motivos detalle'!$B:$B,$B16)</f>
        <v>XLF</v>
      </c>
      <c r="D16" s="17" cm="1">
        <f t="array" ref="D16">INDEX('Motivos detalle'!$A:$A,$B16)</f>
        <v>42688</v>
      </c>
      <c r="E16" s="16" cm="1">
        <f t="array" ref="E16">INDEX('Motivos detalle'!$E:$E,$B16)</f>
        <v>2</v>
      </c>
      <c r="F16" s="18" cm="1">
        <f t="array" ref="F16">INDEX('Motivos detalle'!$F:$F,$B16)</f>
        <v>0.16650000000000001</v>
      </c>
      <c r="G16" s="19" cm="1">
        <f t="array" ref="G16">INDEX('Motivos detalle'!$G:$G,$B16)</f>
        <v>18.54</v>
      </c>
      <c r="H16" s="19" cm="1">
        <f t="array" ref="H16">INDEX('Motivos detalle'!$H:$H,$B16)</f>
        <v>18.12</v>
      </c>
      <c r="I16" s="18">
        <f t="shared" si="1"/>
        <v>2.3178807947019875E-2</v>
      </c>
      <c r="J16" s="16" cm="1">
        <f t="array" ref="J16">IFERROR(_xlfn.AGGREGATE(15,6,ROW('Motivos detalle'!$C$2:$C$274)/(('Motivos detalle'!$C$2:$C$274="SALE")*('Motivos detalle'!$B$2:$B$274=C16)*(ROW('Motivos detalle'!$C$2:$C$274)&gt;B16)),1),"")</f>
        <v>30</v>
      </c>
      <c r="K16" s="17" cm="1">
        <f t="array" ref="K16">IF($J16="","",INDEX('Motivos detalle'!$A:$A,$J16))</f>
        <v>42752</v>
      </c>
      <c r="L16" s="19" cm="1">
        <f t="array" ref="L16">IF($J16="","",INDEX('Motivos detalle'!$G:$G,$J16))</f>
        <v>19.25</v>
      </c>
      <c r="M16" s="19" cm="1">
        <f t="array" ref="M16">IF($J16="","",INDEX('Motivos detalle'!$H:$H,$J16))</f>
        <v>19.38</v>
      </c>
      <c r="N16" s="16" t="str" cm="1">
        <f t="array" ref="N16">IF($J16="","Abierto",INDEX('Motivos detalle'!$D:$D,$J16))</f>
        <v>ruptura piso Donchian</v>
      </c>
      <c r="O16" s="16" cm="1">
        <f t="array" ref="O16">IF($J16="","",INDEX('Motivos detalle'!$E:$E,$J16))</f>
        <v>3</v>
      </c>
      <c r="P16">
        <f t="shared" si="2"/>
        <v>64</v>
      </c>
      <c r="Q16" s="14">
        <f t="shared" si="3"/>
        <v>3.8295577130528669E-2</v>
      </c>
      <c r="R16" t="str">
        <f t="shared" si="4"/>
        <v>Ganador</v>
      </c>
      <c r="S16" t="str">
        <f>VLOOKUP(F16,Parametros!$A$25:$B$29,2,TRUE)</f>
        <v>15% a 30%</v>
      </c>
      <c r="T16" s="14">
        <f t="shared" si="5"/>
        <v>-6.707946336429238E-3</v>
      </c>
      <c r="U16" cm="1">
        <f t="array" ref="U16">IF(J16="","",IFERROR(_xlfn.AGGREGATE(15,6,ROW('Motivos detalle'!$C$2:$C$274)/(('Motivos detalle'!$C$2:$C$274="ENTRA")*('Motivos detalle'!$B$2:$B$274=C16)*(ROW('Motivos detalle'!$C$2:$C$274)&gt;J16)),1),""))</f>
        <v>32</v>
      </c>
      <c r="V16" s="17" cm="1">
        <f t="array" ref="V16">IF(U16="","",INDEX('Motivos detalle'!$A:$A,U16))</f>
        <v>42779</v>
      </c>
      <c r="W16">
        <f t="shared" si="6"/>
        <v>27</v>
      </c>
      <c r="X16" s="19" cm="1">
        <f t="array" ref="X16">IF(U16="","",INDEX('Motivos detalle'!$G:$G,U16))</f>
        <v>20.170000000000002</v>
      </c>
      <c r="Y16" t="str">
        <f>IF(W16="","No",IF(W16&lt;Parametros!$B$4,"Sí","No"))</f>
        <v>No</v>
      </c>
      <c r="Z16" s="14" t="str">
        <f t="shared" si="7"/>
        <v/>
      </c>
      <c r="AA16" t="str">
        <f>IF(F16&gt;Parametros!$B$7,"Sí","No")</f>
        <v>Sí</v>
      </c>
      <c r="AB16" s="15">
        <f>VLOOKUP(YEAR(D16),Parametros!$A$11:$B$21,2,FALSE)</f>
        <v>3.0000000000000001E-3</v>
      </c>
      <c r="AC16" t="str">
        <f t="shared" si="8"/>
        <v>Sí</v>
      </c>
      <c r="AD16" t="str">
        <f>IF(N16="ruptura piso Donchian",IF(T16&gt;-Parametros!$B$6,"Sí","No"),"")</f>
        <v>No</v>
      </c>
      <c r="AE16" s="15">
        <f>IF(J16="","",(L16*(1-Parametros!$B$32))/(G16*(1+Parametros!$B$32))-1)</f>
        <v>3.4150684607053616E-2</v>
      </c>
      <c r="AF16" s="15">
        <f t="shared" si="9"/>
        <v>4.1448925234750522E-3</v>
      </c>
    </row>
    <row r="17" spans="1:32" x14ac:dyDescent="0.3">
      <c r="A17">
        <f t="shared" si="0"/>
        <v>14</v>
      </c>
      <c r="B17" cm="1">
        <f t="array" ref="B17">IFERROR(_xlfn.AGGREGATE(15,6,ROW('Motivos detalle'!$C$2:$C$274)/('Motivos detalle'!$C$2:$C$274="ENTRA"),A17),"")</f>
        <v>26</v>
      </c>
      <c r="C17" s="16" t="str" cm="1">
        <f t="array" ref="C17">INDEX('Motivos detalle'!$B:$B,$B17)</f>
        <v>XLE</v>
      </c>
      <c r="D17" s="17" cm="1">
        <f t="array" ref="D17">INDEX('Motivos detalle'!$A:$A,$B17)</f>
        <v>42695</v>
      </c>
      <c r="E17" s="16" cm="1">
        <f t="array" ref="E17">INDEX('Motivos detalle'!$E:$E,$B17)</f>
        <v>3</v>
      </c>
      <c r="F17" s="18" cm="1">
        <f t="array" ref="F17">INDEX('Motivos detalle'!$F:$F,$B17)</f>
        <v>0.1202</v>
      </c>
      <c r="G17" s="19" cm="1">
        <f t="array" ref="G17">INDEX('Motivos detalle'!$G:$G,$B17)</f>
        <v>24.4</v>
      </c>
      <c r="H17" s="19" cm="1">
        <f t="array" ref="H17">INDEX('Motivos detalle'!$H:$H,$B17)</f>
        <v>24.26</v>
      </c>
      <c r="I17" s="18">
        <f t="shared" si="1"/>
        <v>5.7708161582852302E-3</v>
      </c>
      <c r="J17" s="16" cm="1">
        <f t="array" ref="J17">IFERROR(_xlfn.AGGREGATE(15,6,ROW('Motivos detalle'!$C$2:$C$274)/(('Motivos detalle'!$C$2:$C$274="SALE")*('Motivos detalle'!$B$2:$B$274=C17)*(ROW('Motivos detalle'!$C$2:$C$274)&gt;B17)),1),"")</f>
        <v>27</v>
      </c>
      <c r="K17" s="17" cm="1">
        <f t="array" ref="K17">IF($J17="","",INDEX('Motivos detalle'!$A:$A,$J17))</f>
        <v>42697</v>
      </c>
      <c r="L17" s="19" cm="1">
        <f t="array" ref="L17">IF($J17="","",INDEX('Motivos detalle'!$G:$G,$J17))</f>
        <v>24.49</v>
      </c>
      <c r="M17" s="19" cm="1">
        <f t="array" ref="M17">IF($J17="","",INDEX('Motivos detalle'!$H:$H,$J17))</f>
        <v>22.45</v>
      </c>
      <c r="N17" s="16" t="str" cm="1">
        <f t="array" ref="N17">IF($J17="","Abierto",INDEX('Motivos detalle'!$D:$D,$J17))</f>
        <v>cae del ranking (&gt;#5)</v>
      </c>
      <c r="O17" s="16" cm="1">
        <f t="array" ref="O17">IF($J17="","",INDEX('Motivos detalle'!$E:$E,$J17))</f>
        <v>6</v>
      </c>
      <c r="P17">
        <f t="shared" si="2"/>
        <v>2</v>
      </c>
      <c r="Q17" s="14">
        <f t="shared" si="3"/>
        <v>3.6885245901638886E-3</v>
      </c>
      <c r="R17" t="str">
        <f t="shared" si="4"/>
        <v>Ganador</v>
      </c>
      <c r="S17" t="str">
        <f>VLOOKUP(F17,Parametros!$A$25:$B$29,2,TRUE)</f>
        <v>5% a 15%</v>
      </c>
      <c r="T17" s="14" t="str">
        <f t="shared" si="5"/>
        <v/>
      </c>
      <c r="U17" cm="1">
        <f t="array" ref="U17">IF(J17="","",IFERROR(_xlfn.AGGREGATE(15,6,ROW('Motivos detalle'!$C$2:$C$274)/(('Motivos detalle'!$C$2:$C$274="ENTRA")*('Motivos detalle'!$B$2:$B$274=C17)*(ROW('Motivos detalle'!$C$2:$C$274)&gt;J17)),1),""))</f>
        <v>28</v>
      </c>
      <c r="V17" s="17" cm="1">
        <f t="array" ref="V17">IF(U17="","",INDEX('Motivos detalle'!$A:$A,U17))</f>
        <v>42712</v>
      </c>
      <c r="W17">
        <f t="shared" si="6"/>
        <v>15</v>
      </c>
      <c r="X17" s="19" cm="1">
        <f t="array" ref="X17">IF(U17="","",INDEX('Motivos detalle'!$G:$G,U17))</f>
        <v>25.59</v>
      </c>
      <c r="Y17" t="str">
        <f>IF(W17="","No",IF(W17&lt;Parametros!$B$4,"Sí","No"))</f>
        <v>No</v>
      </c>
      <c r="Z17" s="14" t="str">
        <f t="shared" si="7"/>
        <v/>
      </c>
      <c r="AA17" t="str">
        <f>IF(F17&gt;Parametros!$B$7,"Sí","No")</f>
        <v>Sí</v>
      </c>
      <c r="AB17" s="15">
        <f>VLOOKUP(YEAR(D17),Parametros!$A$11:$B$21,2,FALSE)</f>
        <v>3.0000000000000001E-3</v>
      </c>
      <c r="AC17" t="str">
        <f t="shared" si="8"/>
        <v>Sí</v>
      </c>
      <c r="AD17" t="str">
        <f>IF(N17="ruptura piso Donchian",IF(T17&gt;-Parametros!$B$6,"Sí","No"),"")</f>
        <v/>
      </c>
      <c r="AE17" s="15">
        <f>IF(J17="","",(L17*(1-Parametros!$B$32))/(G17*(1+Parametros!$B$32))-1)</f>
        <v>-3.1821602696247009E-4</v>
      </c>
      <c r="AF17" s="15">
        <f t="shared" si="9"/>
        <v>4.0067406171263587E-3</v>
      </c>
    </row>
    <row r="18" spans="1:32" x14ac:dyDescent="0.3">
      <c r="A18">
        <f t="shared" si="0"/>
        <v>15</v>
      </c>
      <c r="B18" cm="1">
        <f t="array" ref="B18">IFERROR(_xlfn.AGGREGATE(15,6,ROW('Motivos detalle'!$C$2:$C$274)/('Motivos detalle'!$C$2:$C$274="ENTRA"),A18),"")</f>
        <v>28</v>
      </c>
      <c r="C18" s="16" t="str" cm="1">
        <f t="array" ref="C18">INDEX('Motivos detalle'!$B:$B,$B18)</f>
        <v>XLE</v>
      </c>
      <c r="D18" s="17" cm="1">
        <f t="array" ref="D18">INDEX('Motivos detalle'!$A:$A,$B18)</f>
        <v>42712</v>
      </c>
      <c r="E18" s="16" cm="1">
        <f t="array" ref="E18">INDEX('Motivos detalle'!$E:$E,$B18)</f>
        <v>1</v>
      </c>
      <c r="F18" s="18" cm="1">
        <f t="array" ref="F18">INDEX('Motivos detalle'!$F:$F,$B18)</f>
        <v>0.25919999999999999</v>
      </c>
      <c r="G18" s="19" cm="1">
        <f t="array" ref="G18">INDEX('Motivos detalle'!$G:$G,$B18)</f>
        <v>25.59</v>
      </c>
      <c r="H18" s="19" cm="1">
        <f t="array" ref="H18">INDEX('Motivos detalle'!$H:$H,$B18)</f>
        <v>25.5</v>
      </c>
      <c r="I18" s="18">
        <f t="shared" si="1"/>
        <v>3.529411764705781E-3</v>
      </c>
      <c r="J18" s="16" cm="1">
        <f t="array" ref="J18">IFERROR(_xlfn.AGGREGATE(15,6,ROW('Motivos detalle'!$C$2:$C$274)/(('Motivos detalle'!$C$2:$C$274="SALE")*('Motivos detalle'!$B$2:$B$274=C18)*(ROW('Motivos detalle'!$C$2:$C$274)&gt;B18)),1),"")</f>
        <v>29</v>
      </c>
      <c r="K18" s="17" cm="1">
        <f t="array" ref="K18">IF($J18="","",INDEX('Motivos detalle'!$A:$A,$J18))</f>
        <v>42744</v>
      </c>
      <c r="L18" s="19" cm="1">
        <f t="array" ref="L18">IF($J18="","",INDEX('Motivos detalle'!$G:$G,$J18))</f>
        <v>25.2</v>
      </c>
      <c r="M18" s="19" cm="1">
        <f t="array" ref="M18">IF($J18="","",INDEX('Motivos detalle'!$H:$H,$J18))</f>
        <v>25.29</v>
      </c>
      <c r="N18" s="16" t="str" cm="1">
        <f t="array" ref="N18">IF($J18="","Abierto",INDEX('Motivos detalle'!$D:$D,$J18))</f>
        <v>ruptura piso Donchian</v>
      </c>
      <c r="O18" s="16" cm="1">
        <f t="array" ref="O18">IF($J18="","",INDEX('Motivos detalle'!$E:$E,$J18))</f>
        <v>1</v>
      </c>
      <c r="P18">
        <f t="shared" si="2"/>
        <v>32</v>
      </c>
      <c r="Q18" s="14">
        <f t="shared" si="3"/>
        <v>-1.5240328253223967E-2</v>
      </c>
      <c r="R18" t="str">
        <f t="shared" si="4"/>
        <v>Perdedor</v>
      </c>
      <c r="S18" t="str">
        <f>VLOOKUP(F18,Parametros!$A$25:$B$29,2,TRUE)</f>
        <v>15% a 30%</v>
      </c>
      <c r="T18" s="14">
        <f t="shared" si="5"/>
        <v>-3.558718861209953E-3</v>
      </c>
      <c r="U18" cm="1">
        <f t="array" ref="U18">IF(J18="","",IFERROR(_xlfn.AGGREGATE(15,6,ROW('Motivos detalle'!$C$2:$C$274)/(('Motivos detalle'!$C$2:$C$274="ENTRA")*('Motivos detalle'!$B$2:$B$274=C18)*(ROW('Motivos detalle'!$C$2:$C$274)&gt;J18)),1),""))</f>
        <v>59</v>
      </c>
      <c r="V18" s="17" cm="1">
        <f t="array" ref="V18">IF(U18="","",INDEX('Motivos detalle'!$A:$A,U18))</f>
        <v>43229</v>
      </c>
      <c r="W18">
        <f t="shared" si="6"/>
        <v>485</v>
      </c>
      <c r="X18" s="19" cm="1">
        <f t="array" ref="X18">IF(U18="","",INDEX('Motivos detalle'!$G:$G,U18))</f>
        <v>26.66</v>
      </c>
      <c r="Y18" t="str">
        <f>IF(W18="","No",IF(W18&lt;Parametros!$B$4,"Sí","No"))</f>
        <v>No</v>
      </c>
      <c r="Z18" s="14" t="str">
        <f t="shared" si="7"/>
        <v/>
      </c>
      <c r="AA18" t="str">
        <f>IF(F18&gt;Parametros!$B$7,"Sí","No")</f>
        <v>Sí</v>
      </c>
      <c r="AB18" s="15">
        <f>VLOOKUP(YEAR(D18),Parametros!$A$11:$B$21,2,FALSE)</f>
        <v>3.0000000000000001E-3</v>
      </c>
      <c r="AC18" t="str">
        <f t="shared" si="8"/>
        <v>Sí</v>
      </c>
      <c r="AD18" t="str">
        <f>IF(N18="ruptura piso Donchian",IF(T18&gt;-Parametros!$B$6,"Sí","No"),"")</f>
        <v>No</v>
      </c>
      <c r="AE18" s="15">
        <f>IF(J18="","",(L18*(1-Parametros!$B$32))/(G18*(1+Parametros!$B$32))-1)</f>
        <v>-1.9171504587542354E-2</v>
      </c>
      <c r="AF18" s="15">
        <f t="shared" si="9"/>
        <v>3.931176334318387E-3</v>
      </c>
    </row>
    <row r="19" spans="1:32" x14ac:dyDescent="0.3">
      <c r="A19">
        <f t="shared" si="0"/>
        <v>16</v>
      </c>
      <c r="B19" cm="1">
        <f t="array" ref="B19">IFERROR(_xlfn.AGGREGATE(15,6,ROW('Motivos detalle'!$C$2:$C$274)/('Motivos detalle'!$C$2:$C$274="ENTRA"),A19),"")</f>
        <v>31</v>
      </c>
      <c r="C19" s="16" t="str" cm="1">
        <f t="array" ref="C19">INDEX('Motivos detalle'!$B:$B,$B19)</f>
        <v>XLB</v>
      </c>
      <c r="D19" s="17" cm="1">
        <f t="array" ref="D19">INDEX('Motivos detalle'!$A:$A,$B19)</f>
        <v>42759</v>
      </c>
      <c r="E19" s="16" cm="1">
        <f t="array" ref="E19">INDEX('Motivos detalle'!$E:$E,$B19)</f>
        <v>2</v>
      </c>
      <c r="F19" s="18" cm="1">
        <f t="array" ref="F19">INDEX('Motivos detalle'!$F:$F,$B19)</f>
        <v>0.43719999999999998</v>
      </c>
      <c r="G19" s="19" cm="1">
        <f t="array" ref="G19">INDEX('Motivos detalle'!$G:$G,$B19)</f>
        <v>21.76</v>
      </c>
      <c r="H19" s="19" cm="1">
        <f t="array" ref="H19">INDEX('Motivos detalle'!$H:$H,$B19)</f>
        <v>21.24</v>
      </c>
      <c r="I19" s="18">
        <f t="shared" si="1"/>
        <v>2.4482109227872195E-2</v>
      </c>
      <c r="J19" s="16" cm="1">
        <f t="array" ref="J19">IFERROR(_xlfn.AGGREGATE(15,6,ROW('Motivos detalle'!$C$2:$C$274)/(('Motivos detalle'!$C$2:$C$274="SALE")*('Motivos detalle'!$B$2:$B$274=C19)*(ROW('Motivos detalle'!$C$2:$C$274)&gt;B19)),1),"")</f>
        <v>37</v>
      </c>
      <c r="K19" s="17" cm="1">
        <f t="array" ref="K19">IF($J19="","",INDEX('Motivos detalle'!$A:$A,$J19))</f>
        <v>42880</v>
      </c>
      <c r="L19" s="19" cm="1">
        <f t="array" ref="L19">IF($J19="","",INDEX('Motivos detalle'!$G:$G,$J19))</f>
        <v>21.96</v>
      </c>
      <c r="M19" s="19" cm="1">
        <f t="array" ref="M19">IF($J19="","",INDEX('Motivos detalle'!$H:$H,$J19))</f>
        <v>21.34</v>
      </c>
      <c r="N19" s="16" t="str" cm="1">
        <f t="array" ref="N19">IF($J19="","Abierto",INDEX('Motivos detalle'!$D:$D,$J19))</f>
        <v>cae del ranking (&gt;#5)</v>
      </c>
      <c r="O19" s="16" cm="1">
        <f t="array" ref="O19">IF($J19="","",INDEX('Motivos detalle'!$E:$E,$J19))</f>
        <v>6</v>
      </c>
      <c r="P19">
        <f t="shared" si="2"/>
        <v>121</v>
      </c>
      <c r="Q19" s="14">
        <f t="shared" si="3"/>
        <v>9.1911764705880916E-3</v>
      </c>
      <c r="R19" t="str">
        <f t="shared" si="4"/>
        <v>Ganador</v>
      </c>
      <c r="S19" t="str">
        <f>VLOOKUP(F19,Parametros!$A$25:$B$29,2,TRUE)</f>
        <v>Más de 30%</v>
      </c>
      <c r="T19" s="14" t="str">
        <f t="shared" si="5"/>
        <v/>
      </c>
      <c r="U19" cm="1">
        <f t="array" ref="U19">IF(J19="","",IFERROR(_xlfn.AGGREGATE(15,6,ROW('Motivos detalle'!$C$2:$C$274)/(('Motivos detalle'!$C$2:$C$274="ENTRA")*('Motivos detalle'!$B$2:$B$274=C19)*(ROW('Motivos detalle'!$C$2:$C$274)&gt;J19)),1),""))</f>
        <v>49</v>
      </c>
      <c r="V19" s="17" cm="1">
        <f t="array" ref="V19">IF(U19="","",INDEX('Motivos detalle'!$A:$A,U19))</f>
        <v>43102</v>
      </c>
      <c r="W19">
        <f t="shared" si="6"/>
        <v>222</v>
      </c>
      <c r="X19" s="19" cm="1">
        <f t="array" ref="X19">IF(U19="","",INDEX('Motivos detalle'!$G:$G,U19))</f>
        <v>25.9</v>
      </c>
      <c r="Y19" t="str">
        <f>IF(W19="","No",IF(W19&lt;Parametros!$B$4,"Sí","No"))</f>
        <v>No</v>
      </c>
      <c r="Z19" s="14" t="str">
        <f t="shared" si="7"/>
        <v/>
      </c>
      <c r="AA19" t="str">
        <f>IF(F19&gt;Parametros!$B$7,"Sí","No")</f>
        <v>Sí</v>
      </c>
      <c r="AB19" s="15">
        <f>VLOOKUP(YEAR(D19),Parametros!$A$11:$B$21,2,FALSE)</f>
        <v>8.9999999999999993E-3</v>
      </c>
      <c r="AC19" t="str">
        <f t="shared" si="8"/>
        <v>Sí</v>
      </c>
      <c r="AD19" t="str">
        <f>IF(N19="ruptura piso Donchian",IF(T19&gt;-Parametros!$B$6,"Sí","No"),"")</f>
        <v/>
      </c>
      <c r="AE19" s="15">
        <f>IF(J19="","",(L19*(1-Parametros!$B$32))/(G19*(1+Parametros!$B$32))-1)</f>
        <v>5.1624691792884203E-3</v>
      </c>
      <c r="AF19" s="15">
        <f t="shared" si="9"/>
        <v>4.0287072912996713E-3</v>
      </c>
    </row>
    <row r="20" spans="1:32" x14ac:dyDescent="0.3">
      <c r="A20">
        <f t="shared" si="0"/>
        <v>17</v>
      </c>
      <c r="B20" cm="1">
        <f t="array" ref="B20">IFERROR(_xlfn.AGGREGATE(15,6,ROW('Motivos detalle'!$C$2:$C$274)/('Motivos detalle'!$C$2:$C$274="ENTRA"),A20),"")</f>
        <v>32</v>
      </c>
      <c r="C20" s="16" t="str" cm="1">
        <f t="array" ref="C20">INDEX('Motivos detalle'!$B:$B,$B20)</f>
        <v>XLF</v>
      </c>
      <c r="D20" s="17" cm="1">
        <f t="array" ref="D20">INDEX('Motivos detalle'!$A:$A,$B20)</f>
        <v>42779</v>
      </c>
      <c r="E20" s="16" cm="1">
        <f t="array" ref="E20">INDEX('Motivos detalle'!$E:$E,$B20)</f>
        <v>1</v>
      </c>
      <c r="F20" s="18" cm="1">
        <f t="array" ref="F20">INDEX('Motivos detalle'!$F:$F,$B20)</f>
        <v>0.47270000000000001</v>
      </c>
      <c r="G20" s="19" cm="1">
        <f t="array" ref="G20">INDEX('Motivos detalle'!$G:$G,$B20)</f>
        <v>20.170000000000002</v>
      </c>
      <c r="H20" s="19" cm="1">
        <f t="array" ref="H20">INDEX('Motivos detalle'!$H:$H,$B20)</f>
        <v>20.010000000000002</v>
      </c>
      <c r="I20" s="18">
        <f t="shared" si="1"/>
        <v>7.9960019990004128E-3</v>
      </c>
      <c r="J20" s="16" cm="1">
        <f t="array" ref="J20">IFERROR(_xlfn.AGGREGATE(15,6,ROW('Motivos detalle'!$C$2:$C$274)/(('Motivos detalle'!$C$2:$C$274="SALE")*('Motivos detalle'!$B$2:$B$274=C20)*(ROW('Motivos detalle'!$C$2:$C$274)&gt;B20)),1),"")</f>
        <v>34</v>
      </c>
      <c r="K20" s="17" cm="1">
        <f t="array" ref="K20">IF($J20="","",INDEX('Motivos detalle'!$A:$A,$J20))</f>
        <v>42815</v>
      </c>
      <c r="L20" s="19" cm="1">
        <f t="array" ref="L20">IF($J20="","",INDEX('Motivos detalle'!$G:$G,$J20))</f>
        <v>19.84</v>
      </c>
      <c r="M20" s="19" cm="1">
        <f t="array" ref="M20">IF($J20="","",INDEX('Motivos detalle'!$H:$H,$J20))</f>
        <v>20.39</v>
      </c>
      <c r="N20" s="16" t="str" cm="1">
        <f t="array" ref="N20">IF($J20="","Abierto",INDEX('Motivos detalle'!$D:$D,$J20))</f>
        <v>ruptura piso Donchian</v>
      </c>
      <c r="O20" s="16" cm="1">
        <f t="array" ref="O20">IF($J20="","",INDEX('Motivos detalle'!$E:$E,$J20))</f>
        <v>1</v>
      </c>
      <c r="P20">
        <f t="shared" si="2"/>
        <v>36</v>
      </c>
      <c r="Q20" s="14">
        <f t="shared" si="3"/>
        <v>-1.6360932077342683E-2</v>
      </c>
      <c r="R20" t="str">
        <f t="shared" si="4"/>
        <v>Perdedor</v>
      </c>
      <c r="S20" t="str">
        <f>VLOOKUP(F20,Parametros!$A$25:$B$29,2,TRUE)</f>
        <v>Más de 30%</v>
      </c>
      <c r="T20" s="14">
        <f t="shared" si="5"/>
        <v>-2.6974006866110845E-2</v>
      </c>
      <c r="U20" cm="1">
        <f t="array" ref="U20">IF(J20="","",IFERROR(_xlfn.AGGREGATE(15,6,ROW('Motivos detalle'!$C$2:$C$274)/(('Motivos detalle'!$C$2:$C$274="ENTRA")*('Motivos detalle'!$B$2:$B$274=C20)*(ROW('Motivos detalle'!$C$2:$C$274)&gt;J20)),1),""))</f>
        <v>38</v>
      </c>
      <c r="V20" s="17" cm="1">
        <f t="array" ref="V20">IF(U20="","",INDEX('Motivos detalle'!$A:$A,U20))</f>
        <v>42895</v>
      </c>
      <c r="W20">
        <f t="shared" si="6"/>
        <v>80</v>
      </c>
      <c r="X20" s="19" cm="1">
        <f t="array" ref="X20">IF(U20="","",INDEX('Motivos detalle'!$G:$G,U20))</f>
        <v>20.45</v>
      </c>
      <c r="Y20" t="str">
        <f>IF(W20="","No",IF(W20&lt;Parametros!$B$4,"Sí","No"))</f>
        <v>No</v>
      </c>
      <c r="Z20" s="14" t="str">
        <f t="shared" si="7"/>
        <v/>
      </c>
      <c r="AA20" t="str">
        <f>IF(F20&gt;Parametros!$B$7,"Sí","No")</f>
        <v>Sí</v>
      </c>
      <c r="AB20" s="15">
        <f>VLOOKUP(YEAR(D20),Parametros!$A$11:$B$21,2,FALSE)</f>
        <v>8.9999999999999993E-3</v>
      </c>
      <c r="AC20" t="str">
        <f t="shared" si="8"/>
        <v>Sí</v>
      </c>
      <c r="AD20" t="str">
        <f>IF(N20="ruptura piso Donchian",IF(T20&gt;-Parametros!$B$6,"Sí","No"),"")</f>
        <v>No</v>
      </c>
      <c r="AE20" s="15">
        <f>IF(J20="","",(L20*(1-Parametros!$B$32))/(G20*(1+Parametros!$B$32))-1)</f>
        <v>-2.0287634943301436E-2</v>
      </c>
      <c r="AF20" s="15">
        <f t="shared" si="9"/>
        <v>3.9267028659587533E-3</v>
      </c>
    </row>
    <row r="21" spans="1:32" x14ac:dyDescent="0.3">
      <c r="A21">
        <f t="shared" si="0"/>
        <v>18</v>
      </c>
      <c r="B21" cm="1">
        <f t="array" ref="B21">IFERROR(_xlfn.AGGREGATE(15,6,ROW('Motivos detalle'!$C$2:$C$274)/('Motivos detalle'!$C$2:$C$274="ENTRA"),A21),"")</f>
        <v>35</v>
      </c>
      <c r="C21" s="16" t="str" cm="1">
        <f t="array" ref="C21">INDEX('Motivos detalle'!$B:$B,$B21)</f>
        <v>XLI</v>
      </c>
      <c r="D21" s="17" cm="1">
        <f t="array" ref="D21">INDEX('Motivos detalle'!$A:$A,$B21)</f>
        <v>42849</v>
      </c>
      <c r="E21" s="16" cm="1">
        <f t="array" ref="E21">INDEX('Motivos detalle'!$E:$E,$B21)</f>
        <v>3</v>
      </c>
      <c r="F21" s="18" cm="1">
        <f t="array" ref="F21">INDEX('Motivos detalle'!$F:$F,$B21)</f>
        <v>0.20169999999999999</v>
      </c>
      <c r="G21" s="19" cm="1">
        <f t="array" ref="G21">INDEX('Motivos detalle'!$G:$G,$B21)</f>
        <v>56.76</v>
      </c>
      <c r="H21" s="19" cm="1">
        <f t="array" ref="H21">INDEX('Motivos detalle'!$H:$H,$B21)</f>
        <v>56.37</v>
      </c>
      <c r="I21" s="18">
        <f t="shared" si="1"/>
        <v>6.9185737094199506E-3</v>
      </c>
      <c r="J21" s="16" cm="1">
        <f t="array" ref="J21">IFERROR(_xlfn.AGGREGATE(15,6,ROW('Motivos detalle'!$C$2:$C$274)/(('Motivos detalle'!$C$2:$C$274="SALE")*('Motivos detalle'!$B$2:$B$274=C21)*(ROW('Motivos detalle'!$C$2:$C$274)&gt;B21)),1),"")</f>
        <v>39</v>
      </c>
      <c r="K21" s="17" cm="1">
        <f t="array" ref="K21">IF($J21="","",INDEX('Motivos detalle'!$A:$A,$J21))</f>
        <v>42957</v>
      </c>
      <c r="L21" s="19" cm="1">
        <f t="array" ref="L21">IF($J21="","",INDEX('Motivos detalle'!$G:$G,$J21))</f>
        <v>58.3</v>
      </c>
      <c r="M21" s="19" cm="1">
        <f t="array" ref="M21">IF($J21="","",INDEX('Motivos detalle'!$H:$H,$J21))</f>
        <v>58.38</v>
      </c>
      <c r="N21" s="16" t="str" cm="1">
        <f t="array" ref="N21">IF($J21="","Abierto",INDEX('Motivos detalle'!$D:$D,$J21))</f>
        <v>ruptura piso Donchian</v>
      </c>
      <c r="O21" s="16" cm="1">
        <f t="array" ref="O21">IF($J21="","",INDEX('Motivos detalle'!$E:$E,$J21))</f>
        <v>3</v>
      </c>
      <c r="P21">
        <f t="shared" si="2"/>
        <v>108</v>
      </c>
      <c r="Q21" s="14">
        <f t="shared" si="3"/>
        <v>2.7131782945736482E-2</v>
      </c>
      <c r="R21" t="str">
        <f t="shared" si="4"/>
        <v>Ganador</v>
      </c>
      <c r="S21" t="str">
        <f>VLOOKUP(F21,Parametros!$A$25:$B$29,2,TRUE)</f>
        <v>15% a 30%</v>
      </c>
      <c r="T21" s="14">
        <f t="shared" si="5"/>
        <v>-1.3703323055841432E-3</v>
      </c>
      <c r="U21" cm="1">
        <f t="array" ref="U21">IF(J21="","",IFERROR(_xlfn.AGGREGATE(15,6,ROW('Motivos detalle'!$C$2:$C$274)/(('Motivos detalle'!$C$2:$C$274="ENTRA")*('Motivos detalle'!$B$2:$B$274=C21)*(ROW('Motivos detalle'!$C$2:$C$274)&gt;J21)),1),""))</f>
        <v>41</v>
      </c>
      <c r="V21" s="17" cm="1">
        <f t="array" ref="V21">IF(U21="","",INDEX('Motivos detalle'!$A:$A,U21))</f>
        <v>42990</v>
      </c>
      <c r="W21">
        <f t="shared" si="6"/>
        <v>33</v>
      </c>
      <c r="X21" s="19" cm="1">
        <f t="array" ref="X21">IF(U21="","",INDEX('Motivos detalle'!$G:$G,U21))</f>
        <v>59.48</v>
      </c>
      <c r="Y21" t="str">
        <f>IF(W21="","No",IF(W21&lt;Parametros!$B$4,"Sí","No"))</f>
        <v>No</v>
      </c>
      <c r="Z21" s="14" t="str">
        <f t="shared" si="7"/>
        <v/>
      </c>
      <c r="AA21" t="str">
        <f>IF(F21&gt;Parametros!$B$7,"Sí","No")</f>
        <v>Sí</v>
      </c>
      <c r="AB21" s="15">
        <f>VLOOKUP(YEAR(D21),Parametros!$A$11:$B$21,2,FALSE)</f>
        <v>8.9999999999999993E-3</v>
      </c>
      <c r="AC21" t="str">
        <f t="shared" si="8"/>
        <v>Sí</v>
      </c>
      <c r="AD21" t="str">
        <f>IF(N21="ruptura piso Donchian",IF(T21&gt;-Parametros!$B$6,"Sí","No"),"")</f>
        <v>Sí</v>
      </c>
      <c r="AE21" s="15">
        <f>IF(J21="","",(L21*(1-Parametros!$B$32))/(G21*(1+Parametros!$B$32))-1)</f>
        <v>2.3031456466911182E-2</v>
      </c>
      <c r="AF21" s="15">
        <f t="shared" si="9"/>
        <v>4.1003264788253002E-3</v>
      </c>
    </row>
    <row r="22" spans="1:32" x14ac:dyDescent="0.3">
      <c r="A22">
        <f t="shared" si="0"/>
        <v>19</v>
      </c>
      <c r="B22" cm="1">
        <f t="array" ref="B22">IFERROR(_xlfn.AGGREGATE(15,6,ROW('Motivos detalle'!$C$2:$C$274)/('Motivos detalle'!$C$2:$C$274="ENTRA"),A22),"")</f>
        <v>36</v>
      </c>
      <c r="C22" s="16" t="str" cm="1">
        <f t="array" ref="C22">INDEX('Motivos detalle'!$B:$B,$B22)</f>
        <v>XLK</v>
      </c>
      <c r="D22" s="17" cm="1">
        <f t="array" ref="D22">INDEX('Motivos detalle'!$A:$A,$B22)</f>
        <v>42850</v>
      </c>
      <c r="E22" s="16" cm="1">
        <f t="array" ref="E22">INDEX('Motivos detalle'!$E:$E,$B22)</f>
        <v>2</v>
      </c>
      <c r="F22" s="18" cm="1">
        <f t="array" ref="F22">INDEX('Motivos detalle'!$F:$F,$B22)</f>
        <v>0.26629999999999998</v>
      </c>
      <c r="G22" s="19" cm="1">
        <f t="array" ref="G22">INDEX('Motivos detalle'!$G:$G,$B22)</f>
        <v>24.64</v>
      </c>
      <c r="H22" s="19" cm="1">
        <f t="array" ref="H22">INDEX('Motivos detalle'!$H:$H,$B22)</f>
        <v>24.53</v>
      </c>
      <c r="I22" s="18">
        <f t="shared" si="1"/>
        <v>4.484304932735439E-3</v>
      </c>
      <c r="J22" s="16" cm="1">
        <f t="array" ref="J22">IFERROR(_xlfn.AGGREGATE(15,6,ROW('Motivos detalle'!$C$2:$C$274)/(('Motivos detalle'!$C$2:$C$274="SALE")*('Motivos detalle'!$B$2:$B$274=C22)*(ROW('Motivos detalle'!$C$2:$C$274)&gt;B22)),1),"")</f>
        <v>45</v>
      </c>
      <c r="K22" s="17" cm="1">
        <f t="array" ref="K22">IF($J22="","",INDEX('Motivos detalle'!$A:$A,$J22))</f>
        <v>43073</v>
      </c>
      <c r="L22" s="19" cm="1">
        <f t="array" ref="L22">IF($J22="","",INDEX('Motivos detalle'!$G:$G,$J22))</f>
        <v>28.69</v>
      </c>
      <c r="M22" s="19" cm="1">
        <f t="array" ref="M22">IF($J22="","",INDEX('Motivos detalle'!$H:$H,$J22))</f>
        <v>28.74</v>
      </c>
      <c r="N22" s="16" t="str" cm="1">
        <f t="array" ref="N22">IF($J22="","Abierto",INDEX('Motivos detalle'!$D:$D,$J22))</f>
        <v>ruptura piso Donchian</v>
      </c>
      <c r="O22" s="16" cm="1">
        <f t="array" ref="O22">IF($J22="","",INDEX('Motivos detalle'!$E:$E,$J22))</f>
        <v>1</v>
      </c>
      <c r="P22">
        <f t="shared" si="2"/>
        <v>223</v>
      </c>
      <c r="Q22" s="14">
        <f t="shared" si="3"/>
        <v>0.16436688311688319</v>
      </c>
      <c r="R22" t="str">
        <f t="shared" si="4"/>
        <v>Ganador</v>
      </c>
      <c r="S22" t="str">
        <f>VLOOKUP(F22,Parametros!$A$25:$B$29,2,TRUE)</f>
        <v>15% a 30%</v>
      </c>
      <c r="T22" s="14">
        <f t="shared" si="5"/>
        <v>-1.7397355601947995E-3</v>
      </c>
      <c r="U22" cm="1">
        <f t="array" ref="U22">IF(J22="","",IFERROR(_xlfn.AGGREGATE(15,6,ROW('Motivos detalle'!$C$2:$C$274)/(('Motivos detalle'!$C$2:$C$274="ENTRA")*('Motivos detalle'!$B$2:$B$274=C22)*(ROW('Motivos detalle'!$C$2:$C$274)&gt;J22)),1),""))</f>
        <v>47</v>
      </c>
      <c r="V22" s="17" cm="1">
        <f t="array" ref="V22">IF(U22="","",INDEX('Motivos detalle'!$A:$A,U22))</f>
        <v>43087</v>
      </c>
      <c r="W22">
        <f t="shared" si="6"/>
        <v>14</v>
      </c>
      <c r="X22" s="19" cm="1">
        <f t="array" ref="X22">IF(U22="","",INDEX('Motivos detalle'!$G:$G,U22))</f>
        <v>30.02</v>
      </c>
      <c r="Y22" t="str">
        <f>IF(W22="","No",IF(W22&lt;Parametros!$B$4,"Sí","No"))</f>
        <v>No</v>
      </c>
      <c r="Z22" s="14" t="str">
        <f t="shared" si="7"/>
        <v/>
      </c>
      <c r="AA22" t="str">
        <f>IF(F22&gt;Parametros!$B$7,"Sí","No")</f>
        <v>Sí</v>
      </c>
      <c r="AB22" s="15">
        <f>VLOOKUP(YEAR(D22),Parametros!$A$11:$B$21,2,FALSE)</f>
        <v>8.9999999999999993E-3</v>
      </c>
      <c r="AC22" t="str">
        <f t="shared" si="8"/>
        <v>Sí</v>
      </c>
      <c r="AD22" t="str">
        <f>IF(N22="ruptura piso Donchian",IF(T22&gt;-Parametros!$B$6,"Sí","No"),"")</f>
        <v>Sí</v>
      </c>
      <c r="AE22" s="15">
        <f>IF(J22="","",(L22*(1-Parametros!$B$32))/(G22*(1+Parametros!$B$32))-1)</f>
        <v>0.15971871192679576</v>
      </c>
      <c r="AF22" s="15">
        <f t="shared" si="9"/>
        <v>4.6481711900874245E-3</v>
      </c>
    </row>
    <row r="23" spans="1:32" x14ac:dyDescent="0.3">
      <c r="A23">
        <f t="shared" si="0"/>
        <v>20</v>
      </c>
      <c r="B23" cm="1">
        <f t="array" ref="B23">IFERROR(_xlfn.AGGREGATE(15,6,ROW('Motivos detalle'!$C$2:$C$274)/('Motivos detalle'!$C$2:$C$274="ENTRA"),A23),"")</f>
        <v>38</v>
      </c>
      <c r="C23" s="16" t="str" cm="1">
        <f t="array" ref="C23">INDEX('Motivos detalle'!$B:$B,$B23)</f>
        <v>XLF</v>
      </c>
      <c r="D23" s="17" cm="1">
        <f t="array" ref="D23">INDEX('Motivos detalle'!$A:$A,$B23)</f>
        <v>42895</v>
      </c>
      <c r="E23" s="16" cm="1">
        <f t="array" ref="E23">INDEX('Motivos detalle'!$E:$E,$B23)</f>
        <v>1</v>
      </c>
      <c r="F23" s="18" cm="1">
        <f t="array" ref="F23">INDEX('Motivos detalle'!$F:$F,$B23)</f>
        <v>0.29849999999999999</v>
      </c>
      <c r="G23" s="19" cm="1">
        <f t="array" ref="G23">INDEX('Motivos detalle'!$G:$G,$B23)</f>
        <v>20.45</v>
      </c>
      <c r="H23" s="19" cm="1">
        <f t="array" ref="H23">INDEX('Motivos detalle'!$H:$H,$B23)</f>
        <v>20.21</v>
      </c>
      <c r="I23" s="18">
        <f t="shared" si="1"/>
        <v>1.1875309252844968E-2</v>
      </c>
      <c r="J23" s="16" cm="1">
        <f t="array" ref="J23">IFERROR(_xlfn.AGGREGATE(15,6,ROW('Motivos detalle'!$C$2:$C$274)/(('Motivos detalle'!$C$2:$C$274="SALE")*('Motivos detalle'!$B$2:$B$274=C23)*(ROW('Motivos detalle'!$C$2:$C$274)&gt;B23)),1),"")</f>
        <v>40</v>
      </c>
      <c r="K23" s="17" cm="1">
        <f t="array" ref="K23">IF($J23="","",INDEX('Motivos detalle'!$A:$A,$J23))</f>
        <v>42964</v>
      </c>
      <c r="L23" s="19" cm="1">
        <f t="array" ref="L23">IF($J23="","",INDEX('Motivos detalle'!$G:$G,$J23))</f>
        <v>20.8</v>
      </c>
      <c r="M23" s="19" cm="1">
        <f t="array" ref="M23">IF($J23="","",INDEX('Motivos detalle'!$H:$H,$J23))</f>
        <v>20.85</v>
      </c>
      <c r="N23" s="16" t="str" cm="1">
        <f t="array" ref="N23">IF($J23="","Abierto",INDEX('Motivos detalle'!$D:$D,$J23))</f>
        <v>ruptura piso Donchian</v>
      </c>
      <c r="O23" s="16" cm="1">
        <f t="array" ref="O23">IF($J23="","",INDEX('Motivos detalle'!$E:$E,$J23))</f>
        <v>1</v>
      </c>
      <c r="P23">
        <f t="shared" si="2"/>
        <v>69</v>
      </c>
      <c r="Q23" s="14">
        <f t="shared" si="3"/>
        <v>1.7114914425427896E-2</v>
      </c>
      <c r="R23" t="str">
        <f t="shared" si="4"/>
        <v>Ganador</v>
      </c>
      <c r="S23" t="str">
        <f>VLOOKUP(F23,Parametros!$A$25:$B$29,2,TRUE)</f>
        <v>15% a 30%</v>
      </c>
      <c r="T23" s="14">
        <f t="shared" si="5"/>
        <v>-2.3980815347721673E-3</v>
      </c>
      <c r="U23" cm="1">
        <f t="array" ref="U23">IF(J23="","",IFERROR(_xlfn.AGGREGATE(15,6,ROW('Motivos detalle'!$C$2:$C$274)/(('Motivos detalle'!$C$2:$C$274="ENTRA")*('Motivos detalle'!$B$2:$B$274=C23)*(ROW('Motivos detalle'!$C$2:$C$274)&gt;J23)),1),""))</f>
        <v>42</v>
      </c>
      <c r="V23" s="17" cm="1">
        <f t="array" ref="V23">IF(U23="","",INDEX('Motivos detalle'!$A:$A,U23))</f>
        <v>42996</v>
      </c>
      <c r="W23">
        <f t="shared" si="6"/>
        <v>32</v>
      </c>
      <c r="X23" s="19" cm="1">
        <f t="array" ref="X23">IF(U23="","",INDEX('Motivos detalle'!$G:$G,U23))</f>
        <v>21.26</v>
      </c>
      <c r="Y23" t="str">
        <f>IF(W23="","No",IF(W23&lt;Parametros!$B$4,"Sí","No"))</f>
        <v>No</v>
      </c>
      <c r="Z23" s="14" t="str">
        <f t="shared" si="7"/>
        <v/>
      </c>
      <c r="AA23" t="str">
        <f>IF(F23&gt;Parametros!$B$7,"Sí","No")</f>
        <v>Sí</v>
      </c>
      <c r="AB23" s="15">
        <f>VLOOKUP(YEAR(D23),Parametros!$A$11:$B$21,2,FALSE)</f>
        <v>8.9999999999999993E-3</v>
      </c>
      <c r="AC23" t="str">
        <f t="shared" si="8"/>
        <v>Sí</v>
      </c>
      <c r="AD23" t="str">
        <f>IF(N23="ruptura piso Donchian",IF(T23&gt;-Parametros!$B$6,"Sí","No"),"")</f>
        <v>Sí</v>
      </c>
      <c r="AE23" s="15">
        <f>IF(J23="","",(L23*(1-Parametros!$B$32))/(G23*(1+Parametros!$B$32))-1)</f>
        <v>1.3054575445685668E-2</v>
      </c>
      <c r="AF23" s="15">
        <f t="shared" si="9"/>
        <v>4.0603389797422285E-3</v>
      </c>
    </row>
    <row r="24" spans="1:32" x14ac:dyDescent="0.3">
      <c r="A24">
        <f t="shared" si="0"/>
        <v>21</v>
      </c>
      <c r="B24" cm="1">
        <f t="array" ref="B24">IFERROR(_xlfn.AGGREGATE(15,6,ROW('Motivos detalle'!$C$2:$C$274)/('Motivos detalle'!$C$2:$C$274="ENTRA"),A24),"")</f>
        <v>41</v>
      </c>
      <c r="C24" s="16" t="str" cm="1">
        <f t="array" ref="C24">INDEX('Motivos detalle'!$B:$B,$B24)</f>
        <v>XLI</v>
      </c>
      <c r="D24" s="17" cm="1">
        <f t="array" ref="D24">INDEX('Motivos detalle'!$A:$A,$B24)</f>
        <v>42990</v>
      </c>
      <c r="E24" s="16" cm="1">
        <f t="array" ref="E24">INDEX('Motivos detalle'!$E:$E,$B24)</f>
        <v>3</v>
      </c>
      <c r="F24" s="18" cm="1">
        <f t="array" ref="F24">INDEX('Motivos detalle'!$F:$F,$B24)</f>
        <v>0.22120000000000001</v>
      </c>
      <c r="G24" s="19" cm="1">
        <f t="array" ref="G24">INDEX('Motivos detalle'!$G:$G,$B24)</f>
        <v>59.48</v>
      </c>
      <c r="H24" s="19" cm="1">
        <f t="array" ref="H24">INDEX('Motivos detalle'!$H:$H,$B24)</f>
        <v>59.21</v>
      </c>
      <c r="I24" s="18">
        <f t="shared" si="1"/>
        <v>4.5600405336936323E-3</v>
      </c>
      <c r="J24" s="16" cm="1">
        <f t="array" ref="J24">IFERROR(_xlfn.AGGREGATE(15,6,ROW('Motivos detalle'!$C$2:$C$274)/(('Motivos detalle'!$C$2:$C$274="SALE")*('Motivos detalle'!$B$2:$B$274=C24)*(ROW('Motivos detalle'!$C$2:$C$274)&gt;B24)),1),"")</f>
        <v>43</v>
      </c>
      <c r="K24" s="17" cm="1">
        <f t="array" ref="K24">IF($J24="","",INDEX('Motivos detalle'!$A:$A,$J24))</f>
        <v>43040</v>
      </c>
      <c r="L24" s="19" cm="1">
        <f t="array" ref="L24">IF($J24="","",INDEX('Motivos detalle'!$G:$G,$J24))</f>
        <v>61.74</v>
      </c>
      <c r="M24" s="19" cm="1">
        <f t="array" ref="M24">IF($J24="","",INDEX('Motivos detalle'!$H:$H,$J24))</f>
        <v>61.75</v>
      </c>
      <c r="N24" s="16" t="str" cm="1">
        <f t="array" ref="N24">IF($J24="","Abierto",INDEX('Motivos detalle'!$D:$D,$J24))</f>
        <v>ruptura piso Donchian</v>
      </c>
      <c r="O24" s="16" cm="1">
        <f t="array" ref="O24">IF($J24="","",INDEX('Motivos detalle'!$E:$E,$J24))</f>
        <v>4</v>
      </c>
      <c r="P24">
        <f t="shared" si="2"/>
        <v>50</v>
      </c>
      <c r="Q24" s="14">
        <f t="shared" si="3"/>
        <v>3.7995965030262369E-2</v>
      </c>
      <c r="R24" t="str">
        <f t="shared" si="4"/>
        <v>Ganador</v>
      </c>
      <c r="S24" t="str">
        <f>VLOOKUP(F24,Parametros!$A$25:$B$29,2,TRUE)</f>
        <v>15% a 30%</v>
      </c>
      <c r="T24" s="14">
        <f t="shared" si="5"/>
        <v>-1.6194331983798715E-4</v>
      </c>
      <c r="U24" cm="1">
        <f t="array" ref="U24">IF(J24="","",IFERROR(_xlfn.AGGREGATE(15,6,ROW('Motivos detalle'!$C$2:$C$274)/(('Motivos detalle'!$C$2:$C$274="ENTRA")*('Motivos detalle'!$B$2:$B$274=C24)*(ROW('Motivos detalle'!$C$2:$C$274)&gt;J24)),1),""))</f>
        <v>50</v>
      </c>
      <c r="V24" s="17" cm="1">
        <f t="array" ref="V24">IF(U24="","",INDEX('Motivos detalle'!$A:$A,U24))</f>
        <v>43103</v>
      </c>
      <c r="W24">
        <f t="shared" si="6"/>
        <v>63</v>
      </c>
      <c r="X24" s="19" cm="1">
        <f t="array" ref="X24">IF(U24="","",INDEX('Motivos detalle'!$G:$G,U24))</f>
        <v>66.45</v>
      </c>
      <c r="Y24" t="str">
        <f>IF(W24="","No",IF(W24&lt;Parametros!$B$4,"Sí","No"))</f>
        <v>No</v>
      </c>
      <c r="Z24" s="14" t="str">
        <f t="shared" si="7"/>
        <v/>
      </c>
      <c r="AA24" t="str">
        <f>IF(F24&gt;Parametros!$B$7,"Sí","No")</f>
        <v>Sí</v>
      </c>
      <c r="AB24" s="15">
        <f>VLOOKUP(YEAR(D24),Parametros!$A$11:$B$21,2,FALSE)</f>
        <v>8.9999999999999993E-3</v>
      </c>
      <c r="AC24" t="str">
        <f t="shared" si="8"/>
        <v>Sí</v>
      </c>
      <c r="AD24" t="str">
        <f>IF(N24="ruptura piso Donchian",IF(T24&gt;-Parametros!$B$6,"Sí","No"),"")</f>
        <v>Sí</v>
      </c>
      <c r="AE24" s="15">
        <f>IF(J24="","",(L24*(1-Parametros!$B$32))/(G24*(1+Parametros!$B$32))-1)</f>
        <v>3.3852268563075549E-2</v>
      </c>
      <c r="AF24" s="15">
        <f t="shared" si="9"/>
        <v>4.1436964671868193E-3</v>
      </c>
    </row>
    <row r="25" spans="1:32" x14ac:dyDescent="0.3">
      <c r="A25">
        <f t="shared" si="0"/>
        <v>22</v>
      </c>
      <c r="B25" cm="1">
        <f t="array" ref="B25">IFERROR(_xlfn.AGGREGATE(15,6,ROW('Motivos detalle'!$C$2:$C$274)/('Motivos detalle'!$C$2:$C$274="ENTRA"),A25),"")</f>
        <v>42</v>
      </c>
      <c r="C25" s="16" t="str" cm="1">
        <f t="array" ref="C25">INDEX('Motivos detalle'!$B:$B,$B25)</f>
        <v>XLF</v>
      </c>
      <c r="D25" s="17" cm="1">
        <f t="array" ref="D25">INDEX('Motivos detalle'!$A:$A,$B25)</f>
        <v>42996</v>
      </c>
      <c r="E25" s="16" cm="1">
        <f t="array" ref="E25">INDEX('Motivos detalle'!$E:$E,$B25)</f>
        <v>1</v>
      </c>
      <c r="F25" s="18" cm="1">
        <f t="array" ref="F25">INDEX('Motivos detalle'!$F:$F,$B25)</f>
        <v>0.32719999999999999</v>
      </c>
      <c r="G25" s="19" cm="1">
        <f t="array" ref="G25">INDEX('Motivos detalle'!$G:$G,$B25)</f>
        <v>21.26</v>
      </c>
      <c r="H25" s="19" cm="1">
        <f t="array" ref="H25">INDEX('Motivos detalle'!$H:$H,$B25)</f>
        <v>21.06</v>
      </c>
      <c r="I25" s="18">
        <f t="shared" si="1"/>
        <v>9.496676163343043E-3</v>
      </c>
      <c r="J25" s="16" cm="1">
        <f t="array" ref="J25">IFERROR(_xlfn.AGGREGATE(15,6,ROW('Motivos detalle'!$C$2:$C$274)/(('Motivos detalle'!$C$2:$C$274="SALE")*('Motivos detalle'!$B$2:$B$274=C25)*(ROW('Motivos detalle'!$C$2:$C$274)&gt;B25)),1),"")</f>
        <v>48</v>
      </c>
      <c r="K25" s="17" cm="1">
        <f t="array" ref="K25">IF($J25="","",INDEX('Motivos detalle'!$A:$A,$J25))</f>
        <v>43091</v>
      </c>
      <c r="L25" s="19" cm="1">
        <f t="array" ref="L25">IF($J25="","",INDEX('Motivos detalle'!$G:$G,$J25))</f>
        <v>23.91</v>
      </c>
      <c r="M25" s="19" cm="1">
        <f t="array" ref="M25">IF($J25="","",INDEX('Motivos detalle'!$H:$H,$J25))</f>
        <v>22.21</v>
      </c>
      <c r="N25" s="16" t="str" cm="1">
        <f t="array" ref="N25">IF($J25="","Abierto",INDEX('Motivos detalle'!$D:$D,$J25))</f>
        <v>cae del ranking (&gt;#5)</v>
      </c>
      <c r="O25" s="16" cm="1">
        <f t="array" ref="O25">IF($J25="","",INDEX('Motivos detalle'!$E:$E,$J25))</f>
        <v>6</v>
      </c>
      <c r="P25">
        <f t="shared" si="2"/>
        <v>95</v>
      </c>
      <c r="Q25" s="14">
        <f t="shared" si="3"/>
        <v>0.12464722483537161</v>
      </c>
      <c r="R25" t="str">
        <f t="shared" si="4"/>
        <v>Ganador</v>
      </c>
      <c r="S25" t="str">
        <f>VLOOKUP(F25,Parametros!$A$25:$B$29,2,TRUE)</f>
        <v>Más de 30%</v>
      </c>
      <c r="T25" s="14" t="str">
        <f t="shared" si="5"/>
        <v/>
      </c>
      <c r="U25" cm="1">
        <f t="array" ref="U25">IF(J25="","",IFERROR(_xlfn.AGGREGATE(15,6,ROW('Motivos detalle'!$C$2:$C$274)/(('Motivos detalle'!$C$2:$C$274="ENTRA")*('Motivos detalle'!$B$2:$B$274=C25)*(ROW('Motivos detalle'!$C$2:$C$274)&gt;J25)),1),""))</f>
        <v>52</v>
      </c>
      <c r="V25" s="17" cm="1">
        <f t="array" ref="V25">IF(U25="","",INDEX('Motivos detalle'!$A:$A,U25))</f>
        <v>43122</v>
      </c>
      <c r="W25">
        <f t="shared" si="6"/>
        <v>31</v>
      </c>
      <c r="X25" s="19" cm="1">
        <f t="array" ref="X25">IF(U25="","",INDEX('Motivos detalle'!$G:$G,U25))</f>
        <v>25.39</v>
      </c>
      <c r="Y25" t="str">
        <f>IF(W25="","No",IF(W25&lt;Parametros!$B$4,"Sí","No"))</f>
        <v>No</v>
      </c>
      <c r="Z25" s="14" t="str">
        <f t="shared" si="7"/>
        <v/>
      </c>
      <c r="AA25" t="str">
        <f>IF(F25&gt;Parametros!$B$7,"Sí","No")</f>
        <v>Sí</v>
      </c>
      <c r="AB25" s="15">
        <f>VLOOKUP(YEAR(D25),Parametros!$A$11:$B$21,2,FALSE)</f>
        <v>8.9999999999999993E-3</v>
      </c>
      <c r="AC25" t="str">
        <f t="shared" si="8"/>
        <v>Sí</v>
      </c>
      <c r="AD25" t="str">
        <f>IF(N25="ruptura piso Donchian",IF(T25&gt;-Parametros!$B$6,"Sí","No"),"")</f>
        <v/>
      </c>
      <c r="AE25" s="15">
        <f>IF(J25="","",(L25*(1-Parametros!$B$32))/(G25*(1+Parametros!$B$32))-1)</f>
        <v>0.12015761515539003</v>
      </c>
      <c r="AF25" s="15">
        <f t="shared" si="9"/>
        <v>4.4896096799815766E-3</v>
      </c>
    </row>
    <row r="26" spans="1:32" x14ac:dyDescent="0.3">
      <c r="A26">
        <f t="shared" si="0"/>
        <v>23</v>
      </c>
      <c r="B26" cm="1">
        <f t="array" ref="B26">IFERROR(_xlfn.AGGREGATE(15,6,ROW('Motivos detalle'!$C$2:$C$274)/('Motivos detalle'!$C$2:$C$274="ENTRA"),A26),"")</f>
        <v>44</v>
      </c>
      <c r="C26" s="16" t="str" cm="1">
        <f t="array" ref="C26">INDEX('Motivos detalle'!$B:$B,$B26)</f>
        <v>XLU</v>
      </c>
      <c r="D26" s="17" cm="1">
        <f t="array" ref="D26">INDEX('Motivos detalle'!$A:$A,$B26)</f>
        <v>43052</v>
      </c>
      <c r="E26" s="16" cm="1">
        <f t="array" ref="E26">INDEX('Motivos detalle'!$E:$E,$B26)</f>
        <v>2</v>
      </c>
      <c r="F26" s="18" cm="1">
        <f t="array" ref="F26">INDEX('Motivos detalle'!$F:$F,$B26)</f>
        <v>0.2611</v>
      </c>
      <c r="G26" s="19" cm="1">
        <f t="array" ref="G26">INDEX('Motivos detalle'!$G:$G,$B26)</f>
        <v>21.33</v>
      </c>
      <c r="H26" s="19" cm="1">
        <f t="array" ref="H26">INDEX('Motivos detalle'!$H:$H,$B26)</f>
        <v>21.22</v>
      </c>
      <c r="I26" s="18">
        <f t="shared" si="1"/>
        <v>5.1837888784165287E-3</v>
      </c>
      <c r="J26" s="16" cm="1">
        <f t="array" ref="J26">IFERROR(_xlfn.AGGREGATE(15,6,ROW('Motivos detalle'!$C$2:$C$274)/(('Motivos detalle'!$C$2:$C$274="SALE")*('Motivos detalle'!$B$2:$B$274=C26)*(ROW('Motivos detalle'!$C$2:$C$274)&gt;B26)),1),"")</f>
        <v>46</v>
      </c>
      <c r="K26" s="17" cm="1">
        <f t="array" ref="K26">IF($J26="","",INDEX('Motivos detalle'!$A:$A,$J26))</f>
        <v>43081</v>
      </c>
      <c r="L26" s="19" cm="1">
        <f t="array" ref="L26">IF($J26="","",INDEX('Motivos detalle'!$G:$G,$J26))</f>
        <v>20.98</v>
      </c>
      <c r="M26" s="19" cm="1">
        <f t="array" ref="M26">IF($J26="","",INDEX('Motivos detalle'!$H:$H,$J26))</f>
        <v>20.93</v>
      </c>
      <c r="N26" s="16" t="str" cm="1">
        <f t="array" ref="N26">IF($J26="","Abierto",INDEX('Motivos detalle'!$D:$D,$J26))</f>
        <v>cae del ranking (&gt;#5)</v>
      </c>
      <c r="O26" s="16" cm="1">
        <f t="array" ref="O26">IF($J26="","",INDEX('Motivos detalle'!$E:$E,$J26))</f>
        <v>7</v>
      </c>
      <c r="P26">
        <f t="shared" si="2"/>
        <v>29</v>
      </c>
      <c r="Q26" s="14">
        <f t="shared" si="3"/>
        <v>-1.6408813877168194E-2</v>
      </c>
      <c r="R26" t="str">
        <f t="shared" si="4"/>
        <v>Perdedor</v>
      </c>
      <c r="S26" t="str">
        <f>VLOOKUP(F26,Parametros!$A$25:$B$29,2,TRUE)</f>
        <v>15% a 30%</v>
      </c>
      <c r="T26" s="14" t="str">
        <f t="shared" si="5"/>
        <v/>
      </c>
      <c r="U26" cm="1">
        <f t="array" ref="U26">IF(J26="","",IFERROR(_xlfn.AGGREGATE(15,6,ROW('Motivos detalle'!$C$2:$C$274)/(('Motivos detalle'!$C$2:$C$274="ENTRA")*('Motivos detalle'!$B$2:$B$274=C26)*(ROW('Motivos detalle'!$C$2:$C$274)&gt;J26)),1),""))</f>
        <v>81</v>
      </c>
      <c r="V26" s="17" cm="1">
        <f t="array" ref="V26">IF(U26="","",INDEX('Motivos detalle'!$A:$A,U26))</f>
        <v>43608</v>
      </c>
      <c r="W26">
        <f t="shared" si="6"/>
        <v>527</v>
      </c>
      <c r="X26" s="19" cm="1">
        <f t="array" ref="X26">IF(U26="","",INDEX('Motivos detalle'!$G:$G,U26))</f>
        <v>23.94</v>
      </c>
      <c r="Y26" t="str">
        <f>IF(W26="","No",IF(W26&lt;Parametros!$B$4,"Sí","No"))</f>
        <v>No</v>
      </c>
      <c r="Z26" s="14" t="str">
        <f t="shared" si="7"/>
        <v/>
      </c>
      <c r="AA26" t="str">
        <f>IF(F26&gt;Parametros!$B$7,"Sí","No")</f>
        <v>Sí</v>
      </c>
      <c r="AB26" s="15">
        <f>VLOOKUP(YEAR(D26),Parametros!$A$11:$B$21,2,FALSE)</f>
        <v>8.9999999999999993E-3</v>
      </c>
      <c r="AC26" t="str">
        <f t="shared" si="8"/>
        <v>Sí</v>
      </c>
      <c r="AD26" t="str">
        <f>IF(N26="ruptura piso Donchian",IF(T26&gt;-Parametros!$B$6,"Sí","No"),"")</f>
        <v/>
      </c>
      <c r="AE26" s="15">
        <f>IF(J26="","",(L26*(1-Parametros!$B$32))/(G26*(1+Parametros!$B$32))-1)</f>
        <v>-2.0335325598217491E-2</v>
      </c>
      <c r="AF26" s="15">
        <f t="shared" si="9"/>
        <v>3.9265117210492972E-3</v>
      </c>
    </row>
    <row r="27" spans="1:32" x14ac:dyDescent="0.3">
      <c r="A27">
        <f t="shared" si="0"/>
        <v>24</v>
      </c>
      <c r="B27" cm="1">
        <f t="array" ref="B27">IFERROR(_xlfn.AGGREGATE(15,6,ROW('Motivos detalle'!$C$2:$C$274)/('Motivos detalle'!$C$2:$C$274="ENTRA"),A27),"")</f>
        <v>47</v>
      </c>
      <c r="C27" s="16" t="str" cm="1">
        <f t="array" ref="C27">INDEX('Motivos detalle'!$B:$B,$B27)</f>
        <v>XLK</v>
      </c>
      <c r="D27" s="17" cm="1">
        <f t="array" ref="D27">INDEX('Motivos detalle'!$A:$A,$B27)</f>
        <v>43087</v>
      </c>
      <c r="E27" s="16" cm="1">
        <f t="array" ref="E27">INDEX('Motivos detalle'!$E:$E,$B27)</f>
        <v>1</v>
      </c>
      <c r="F27" s="18" cm="1">
        <f t="array" ref="F27">INDEX('Motivos detalle'!$F:$F,$B27)</f>
        <v>0.3609</v>
      </c>
      <c r="G27" s="19" cm="1">
        <f t="array" ref="G27">INDEX('Motivos detalle'!$G:$G,$B27)</f>
        <v>30.02</v>
      </c>
      <c r="H27" s="19" cm="1">
        <f t="array" ref="H27">INDEX('Motivos detalle'!$H:$H,$B27)</f>
        <v>29.8</v>
      </c>
      <c r="I27" s="18">
        <f t="shared" si="1"/>
        <v>7.382550335570448E-3</v>
      </c>
      <c r="J27" s="16" cm="1">
        <f t="array" ref="J27">IFERROR(_xlfn.AGGREGATE(15,6,ROW('Motivos detalle'!$C$2:$C$274)/(('Motivos detalle'!$C$2:$C$274="SALE")*('Motivos detalle'!$B$2:$B$274=C27)*(ROW('Motivos detalle'!$C$2:$C$274)&gt;B27)),1),"")</f>
        <v>53</v>
      </c>
      <c r="K27" s="17" cm="1">
        <f t="array" ref="K27">IF($J27="","",INDEX('Motivos detalle'!$A:$A,$J27))</f>
        <v>43136</v>
      </c>
      <c r="L27" s="19" cm="1">
        <f t="array" ref="L27">IF($J27="","",INDEX('Motivos detalle'!$G:$G,$J27))</f>
        <v>29.36</v>
      </c>
      <c r="M27" s="19" cm="1">
        <f t="array" ref="M27">IF($J27="","",INDEX('Motivos detalle'!$H:$H,$J27))</f>
        <v>30.34</v>
      </c>
      <c r="N27" s="16" t="str" cm="1">
        <f t="array" ref="N27">IF($J27="","Abierto",INDEX('Motivos detalle'!$D:$D,$J27))</f>
        <v>ruptura piso Donchian</v>
      </c>
      <c r="O27" s="16" cm="1">
        <f t="array" ref="O27">IF($J27="","",INDEX('Motivos detalle'!$E:$E,$J27))</f>
        <v>1</v>
      </c>
      <c r="P27">
        <f t="shared" si="2"/>
        <v>49</v>
      </c>
      <c r="Q27" s="14">
        <f t="shared" si="3"/>
        <v>-2.1985343104596988E-2</v>
      </c>
      <c r="R27" t="str">
        <f t="shared" si="4"/>
        <v>Perdedor</v>
      </c>
      <c r="S27" t="str">
        <f>VLOOKUP(F27,Parametros!$A$25:$B$29,2,TRUE)</f>
        <v>Más de 30%</v>
      </c>
      <c r="T27" s="14">
        <f t="shared" si="5"/>
        <v>-3.2300593276203049E-2</v>
      </c>
      <c r="U27" cm="1">
        <f t="array" ref="U27">IF(J27="","",IFERROR(_xlfn.AGGREGATE(15,6,ROW('Motivos detalle'!$C$2:$C$274)/(('Motivos detalle'!$C$2:$C$274="ENTRA")*('Motivos detalle'!$B$2:$B$274=C27)*(ROW('Motivos detalle'!$C$2:$C$274)&gt;J27)),1),""))</f>
        <v>56</v>
      </c>
      <c r="V27" s="17" cm="1">
        <f t="array" ref="V27">IF(U27="","",INDEX('Motivos detalle'!$A:$A,U27))</f>
        <v>43168</v>
      </c>
      <c r="W27">
        <f t="shared" si="6"/>
        <v>32</v>
      </c>
      <c r="X27" s="19" cm="1">
        <f t="array" ref="X27">IF(U27="","",INDEX('Motivos detalle'!$G:$G,U27))</f>
        <v>32.5</v>
      </c>
      <c r="Y27" t="str">
        <f>IF(W27="","No",IF(W27&lt;Parametros!$B$4,"Sí","No"))</f>
        <v>No</v>
      </c>
      <c r="Z27" s="14" t="str">
        <f t="shared" si="7"/>
        <v/>
      </c>
      <c r="AA27" t="str">
        <f>IF(F27&gt;Parametros!$B$7,"Sí","No")</f>
        <v>Sí</v>
      </c>
      <c r="AB27" s="15">
        <f>VLOOKUP(YEAR(D27),Parametros!$A$11:$B$21,2,FALSE)</f>
        <v>8.9999999999999993E-3</v>
      </c>
      <c r="AC27" t="str">
        <f t="shared" si="8"/>
        <v>Sí</v>
      </c>
      <c r="AD27" t="str">
        <f>IF(N27="ruptura piso Donchian",IF(T27&gt;-Parametros!$B$6,"Sí","No"),"")</f>
        <v>No</v>
      </c>
      <c r="AE27" s="15">
        <f>IF(J27="","",(L27*(1-Parametros!$B$32))/(G27*(1+Parametros!$B$32))-1)</f>
        <v>-2.5889593231923969E-2</v>
      </c>
      <c r="AF27" s="15">
        <f t="shared" si="9"/>
        <v>3.9042501273269803E-3</v>
      </c>
    </row>
    <row r="28" spans="1:32" x14ac:dyDescent="0.3">
      <c r="A28">
        <f t="shared" si="0"/>
        <v>25</v>
      </c>
      <c r="B28" cm="1">
        <f t="array" ref="B28">IFERROR(_xlfn.AGGREGATE(15,6,ROW('Motivos detalle'!$C$2:$C$274)/('Motivos detalle'!$C$2:$C$274="ENTRA"),A28),"")</f>
        <v>49</v>
      </c>
      <c r="C28" s="16" t="str" cm="1">
        <f t="array" ref="C28">INDEX('Motivos detalle'!$B:$B,$B28)</f>
        <v>XLB</v>
      </c>
      <c r="D28" s="17" cm="1">
        <f t="array" ref="D28">INDEX('Motivos detalle'!$A:$A,$B28)</f>
        <v>43102</v>
      </c>
      <c r="E28" s="16" cm="1">
        <f t="array" ref="E28">INDEX('Motivos detalle'!$E:$E,$B28)</f>
        <v>2</v>
      </c>
      <c r="F28" s="18" cm="1">
        <f t="array" ref="F28">INDEX('Motivos detalle'!$F:$F,$B28)</f>
        <v>0.25769999999999998</v>
      </c>
      <c r="G28" s="19" cm="1">
        <f t="array" ref="G28">INDEX('Motivos detalle'!$G:$G,$B28)</f>
        <v>25.9</v>
      </c>
      <c r="H28" s="19" cm="1">
        <f t="array" ref="H28">INDEX('Motivos detalle'!$H:$H,$B28)</f>
        <v>25.68</v>
      </c>
      <c r="I28" s="18">
        <f t="shared" si="1"/>
        <v>8.5669781931463351E-3</v>
      </c>
      <c r="J28" s="16" cm="1">
        <f t="array" ref="J28">IFERROR(_xlfn.AGGREGATE(15,6,ROW('Motivos detalle'!$C$2:$C$274)/(('Motivos detalle'!$C$2:$C$274="SALE")*('Motivos detalle'!$B$2:$B$274=C28)*(ROW('Motivos detalle'!$C$2:$C$274)&gt;B28)),1),"")</f>
        <v>51</v>
      </c>
      <c r="K28" s="17" cm="1">
        <f t="array" ref="K28">IF($J28="","",INDEX('Motivos detalle'!$A:$A,$J28))</f>
        <v>43118</v>
      </c>
      <c r="L28" s="19" cm="1">
        <f t="array" ref="L28">IF($J28="","",INDEX('Motivos detalle'!$G:$G,$J28))</f>
        <v>26.54</v>
      </c>
      <c r="M28" s="19" cm="1">
        <f t="array" ref="M28">IF($J28="","",INDEX('Motivos detalle'!$H:$H,$J28))</f>
        <v>25.07</v>
      </c>
      <c r="N28" s="16" t="str" cm="1">
        <f t="array" ref="N28">IF($J28="","Abierto",INDEX('Motivos detalle'!$D:$D,$J28))</f>
        <v>cae del ranking (&gt;#5)</v>
      </c>
      <c r="O28" s="16" cm="1">
        <f t="array" ref="O28">IF($J28="","",INDEX('Motivos detalle'!$E:$E,$J28))</f>
        <v>6</v>
      </c>
      <c r="P28">
        <f t="shared" si="2"/>
        <v>16</v>
      </c>
      <c r="Q28" s="14">
        <f t="shared" si="3"/>
        <v>2.4710424710424839E-2</v>
      </c>
      <c r="R28" t="str">
        <f t="shared" si="4"/>
        <v>Ganador</v>
      </c>
      <c r="S28" t="str">
        <f>VLOOKUP(F28,Parametros!$A$25:$B$29,2,TRUE)</f>
        <v>15% a 30%</v>
      </c>
      <c r="T28" s="14" t="str">
        <f t="shared" si="5"/>
        <v/>
      </c>
      <c r="U28" cm="1">
        <f t="array" ref="U28">IF(J28="","",IFERROR(_xlfn.AGGREGATE(15,6,ROW('Motivos detalle'!$C$2:$C$274)/(('Motivos detalle'!$C$2:$C$274="ENTRA")*('Motivos detalle'!$B$2:$B$274=C28)*(ROW('Motivos detalle'!$C$2:$C$274)&gt;J28)),1),""))</f>
        <v>117</v>
      </c>
      <c r="V28" s="17" cm="1">
        <f t="array" ref="V28">IF(U28="","",INDEX('Motivos detalle'!$A:$A,U28))</f>
        <v>44265</v>
      </c>
      <c r="W28">
        <f t="shared" si="6"/>
        <v>1147</v>
      </c>
      <c r="X28" s="19" cm="1">
        <f t="array" ref="X28">IF(U28="","",INDEX('Motivos detalle'!$G:$G,U28))</f>
        <v>35.049999999999997</v>
      </c>
      <c r="Y28" t="str">
        <f>IF(W28="","No",IF(W28&lt;Parametros!$B$4,"Sí","No"))</f>
        <v>No</v>
      </c>
      <c r="Z28" s="14" t="str">
        <f t="shared" si="7"/>
        <v/>
      </c>
      <c r="AA28" t="str">
        <f>IF(F28&gt;Parametros!$B$7,"Sí","No")</f>
        <v>Sí</v>
      </c>
      <c r="AB28" s="15">
        <f>VLOOKUP(YEAR(D28),Parametros!$A$11:$B$21,2,FALSE)</f>
        <v>1.9E-2</v>
      </c>
      <c r="AC28" t="str">
        <f t="shared" si="8"/>
        <v>Sí</v>
      </c>
      <c r="AD28" t="str">
        <f>IF(N28="ruptura piso Donchian",IF(T28&gt;-Parametros!$B$6,"Sí","No"),"")</f>
        <v/>
      </c>
      <c r="AE28" s="15">
        <f>IF(J28="","",(L28*(1-Parametros!$B$32))/(G28*(1+Parametros!$B$32))-1)</f>
        <v>2.0619764332339141E-2</v>
      </c>
      <c r="AF28" s="15">
        <f t="shared" si="9"/>
        <v>4.0906603780856976E-3</v>
      </c>
    </row>
    <row r="29" spans="1:32" x14ac:dyDescent="0.3">
      <c r="A29">
        <f t="shared" si="0"/>
        <v>26</v>
      </c>
      <c r="B29" cm="1">
        <f t="array" ref="B29">IFERROR(_xlfn.AGGREGATE(15,6,ROW('Motivos detalle'!$C$2:$C$274)/('Motivos detalle'!$C$2:$C$274="ENTRA"),A29),"")</f>
        <v>50</v>
      </c>
      <c r="C29" s="16" t="str" cm="1">
        <f t="array" ref="C29">INDEX('Motivos detalle'!$B:$B,$B29)</f>
        <v>XLI</v>
      </c>
      <c r="D29" s="17" cm="1">
        <f t="array" ref="D29">INDEX('Motivos detalle'!$A:$A,$B29)</f>
        <v>43103</v>
      </c>
      <c r="E29" s="16" cm="1">
        <f t="array" ref="E29">INDEX('Motivos detalle'!$E:$E,$B29)</f>
        <v>3</v>
      </c>
      <c r="F29" s="18" cm="1">
        <f t="array" ref="F29">INDEX('Motivos detalle'!$F:$F,$B29)</f>
        <v>0.2465</v>
      </c>
      <c r="G29" s="19" cm="1">
        <f t="array" ref="G29">INDEX('Motivos detalle'!$G:$G,$B29)</f>
        <v>66.45</v>
      </c>
      <c r="H29" s="19" cm="1">
        <f t="array" ref="H29">INDEX('Motivos detalle'!$H:$H,$B29)</f>
        <v>66.099999999999994</v>
      </c>
      <c r="I29" s="18">
        <f t="shared" si="1"/>
        <v>5.2950075642965722E-3</v>
      </c>
      <c r="J29" s="16" cm="1">
        <f t="array" ref="J29">IFERROR(_xlfn.AGGREGATE(15,6,ROW('Motivos detalle'!$C$2:$C$274)/(('Motivos detalle'!$C$2:$C$274="SALE")*('Motivos detalle'!$B$2:$B$274=C29)*(ROW('Motivos detalle'!$C$2:$C$274)&gt;B29)),1),"")</f>
        <v>54</v>
      </c>
      <c r="K29" s="17" cm="1">
        <f t="array" ref="K29">IF($J29="","",INDEX('Motivos detalle'!$A:$A,$J29))</f>
        <v>43136</v>
      </c>
      <c r="L29" s="19" cm="1">
        <f t="array" ref="L29">IF($J29="","",INDEX('Motivos detalle'!$G:$G,$J29))</f>
        <v>64.64</v>
      </c>
      <c r="M29" s="19" cm="1">
        <f t="array" ref="M29">IF($J29="","",INDEX('Motivos detalle'!$H:$H,$J29))</f>
        <v>66.88</v>
      </c>
      <c r="N29" s="16" t="str" cm="1">
        <f t="array" ref="N29">IF($J29="","Abierto",INDEX('Motivos detalle'!$D:$D,$J29))</f>
        <v>ruptura piso Donchian</v>
      </c>
      <c r="O29" s="16" cm="1">
        <f t="array" ref="O29">IF($J29="","",INDEX('Motivos detalle'!$E:$E,$J29))</f>
        <v>4</v>
      </c>
      <c r="P29">
        <f t="shared" si="2"/>
        <v>33</v>
      </c>
      <c r="Q29" s="14">
        <f t="shared" si="3"/>
        <v>-2.7238525206922493E-2</v>
      </c>
      <c r="R29" t="str">
        <f t="shared" si="4"/>
        <v>Perdedor</v>
      </c>
      <c r="S29" t="str">
        <f>VLOOKUP(F29,Parametros!$A$25:$B$29,2,TRUE)</f>
        <v>15% a 30%</v>
      </c>
      <c r="T29" s="14">
        <f t="shared" si="5"/>
        <v>-3.349282296650713E-2</v>
      </c>
      <c r="U29" cm="1">
        <f t="array" ref="U29">IF(J29="","",IFERROR(_xlfn.AGGREGATE(15,6,ROW('Motivos detalle'!$C$2:$C$274)/(('Motivos detalle'!$C$2:$C$274="ENTRA")*('Motivos detalle'!$B$2:$B$274=C29)*(ROW('Motivos detalle'!$C$2:$C$274)&gt;J29)),1),""))</f>
        <v>64</v>
      </c>
      <c r="V29" s="17" cm="1">
        <f t="array" ref="V29">IF(U29="","",INDEX('Motivos detalle'!$A:$A,U29))</f>
        <v>43361</v>
      </c>
      <c r="W29">
        <f t="shared" si="6"/>
        <v>225</v>
      </c>
      <c r="X29" s="19" cm="1">
        <f t="array" ref="X29">IF(U29="","",INDEX('Motivos detalle'!$G:$G,U29))</f>
        <v>69.86</v>
      </c>
      <c r="Y29" t="str">
        <f>IF(W29="","No",IF(W29&lt;Parametros!$B$4,"Sí","No"))</f>
        <v>No</v>
      </c>
      <c r="Z29" s="14" t="str">
        <f t="shared" si="7"/>
        <v/>
      </c>
      <c r="AA29" t="str">
        <f>IF(F29&gt;Parametros!$B$7,"Sí","No")</f>
        <v>Sí</v>
      </c>
      <c r="AB29" s="15">
        <f>VLOOKUP(YEAR(D29),Parametros!$A$11:$B$21,2,FALSE)</f>
        <v>1.9E-2</v>
      </c>
      <c r="AC29" t="str">
        <f t="shared" si="8"/>
        <v>Sí</v>
      </c>
      <c r="AD29" t="str">
        <f>IF(N29="ruptura piso Donchian",IF(T29&gt;-Parametros!$B$6,"Sí","No"),"")</f>
        <v>No</v>
      </c>
      <c r="AE29" s="15">
        <f>IF(J29="","",(L29*(1-Parametros!$B$32))/(G29*(1+Parametros!$B$32))-1)</f>
        <v>-3.1121804547413867E-2</v>
      </c>
      <c r="AF29" s="15">
        <f t="shared" si="9"/>
        <v>3.8832793404913746E-3</v>
      </c>
    </row>
    <row r="30" spans="1:32" x14ac:dyDescent="0.3">
      <c r="A30">
        <f t="shared" si="0"/>
        <v>27</v>
      </c>
      <c r="B30" cm="1">
        <f t="array" ref="B30">IFERROR(_xlfn.AGGREGATE(15,6,ROW('Motivos detalle'!$C$2:$C$274)/('Motivos detalle'!$C$2:$C$274="ENTRA"),A30),"")</f>
        <v>52</v>
      </c>
      <c r="C30" s="16" t="str" cm="1">
        <f t="array" ref="C30">INDEX('Motivos detalle'!$B:$B,$B30)</f>
        <v>XLF</v>
      </c>
      <c r="D30" s="17" cm="1">
        <f t="array" ref="D30">INDEX('Motivos detalle'!$A:$A,$B30)</f>
        <v>43122</v>
      </c>
      <c r="E30" s="16" cm="1">
        <f t="array" ref="E30">INDEX('Motivos detalle'!$E:$E,$B30)</f>
        <v>2</v>
      </c>
      <c r="F30" s="18" cm="1">
        <f t="array" ref="F30">INDEX('Motivos detalle'!$F:$F,$B30)</f>
        <v>0.30740000000000001</v>
      </c>
      <c r="G30" s="19" cm="1">
        <f t="array" ref="G30">INDEX('Motivos detalle'!$G:$G,$B30)</f>
        <v>25.39</v>
      </c>
      <c r="H30" s="19" cm="1">
        <f t="array" ref="H30">INDEX('Motivos detalle'!$H:$H,$B30)</f>
        <v>25.19</v>
      </c>
      <c r="I30" s="18">
        <f t="shared" si="1"/>
        <v>7.9396585946804876E-3</v>
      </c>
      <c r="J30" s="16" cm="1">
        <f t="array" ref="J30">IFERROR(_xlfn.AGGREGATE(15,6,ROW('Motivos detalle'!$C$2:$C$274)/(('Motivos detalle'!$C$2:$C$274="SALE")*('Motivos detalle'!$B$2:$B$274=C30)*(ROW('Motivos detalle'!$C$2:$C$274)&gt;B30)),1),"")</f>
        <v>55</v>
      </c>
      <c r="K30" s="17" cm="1">
        <f t="array" ref="K30">IF($J30="","",INDEX('Motivos detalle'!$A:$A,$J30))</f>
        <v>43136</v>
      </c>
      <c r="L30" s="19" cm="1">
        <f t="array" ref="L30">IF($J30="","",INDEX('Motivos detalle'!$G:$G,$J30))</f>
        <v>23.77</v>
      </c>
      <c r="M30" s="19" cm="1">
        <f t="array" ref="M30">IF($J30="","",INDEX('Motivos detalle'!$H:$H,$J30))</f>
        <v>24.07</v>
      </c>
      <c r="N30" s="16" t="str" cm="1">
        <f t="array" ref="N30">IF($J30="","Abierto",INDEX('Motivos detalle'!$D:$D,$J30))</f>
        <v>ruptura piso Donchian</v>
      </c>
      <c r="O30" s="16" cm="1">
        <f t="array" ref="O30">IF($J30="","",INDEX('Motivos detalle'!$E:$E,$J30))</f>
        <v>3</v>
      </c>
      <c r="P30">
        <f t="shared" si="2"/>
        <v>14</v>
      </c>
      <c r="Q30" s="14">
        <f t="shared" si="3"/>
        <v>-6.3804647499015377E-2</v>
      </c>
      <c r="R30" t="str">
        <f t="shared" si="4"/>
        <v>Perdedor</v>
      </c>
      <c r="S30" t="str">
        <f>VLOOKUP(F30,Parametros!$A$25:$B$29,2,TRUE)</f>
        <v>Más de 30%</v>
      </c>
      <c r="T30" s="14">
        <f t="shared" si="5"/>
        <v>-1.2463647694225255E-2</v>
      </c>
      <c r="U30" cm="1">
        <f t="array" ref="U30">IF(J30="","",IFERROR(_xlfn.AGGREGATE(15,6,ROW('Motivos detalle'!$C$2:$C$274)/(('Motivos detalle'!$C$2:$C$274="ENTRA")*('Motivos detalle'!$B$2:$B$274=C30)*(ROW('Motivos detalle'!$C$2:$C$274)&gt;J30)),1),""))</f>
        <v>90</v>
      </c>
      <c r="V30" s="17" cm="1">
        <f t="array" ref="V30">IF(U30="","",INDEX('Motivos detalle'!$A:$A,U30))</f>
        <v>43805</v>
      </c>
      <c r="W30">
        <f t="shared" si="6"/>
        <v>669</v>
      </c>
      <c r="X30" s="19" cm="1">
        <f t="array" ref="X30">IF(U30="","",INDEX('Motivos detalle'!$G:$G,U30))</f>
        <v>26.77</v>
      </c>
      <c r="Y30" t="str">
        <f>IF(W30="","No",IF(W30&lt;Parametros!$B$4,"Sí","No"))</f>
        <v>No</v>
      </c>
      <c r="Z30" s="14" t="str">
        <f t="shared" si="7"/>
        <v/>
      </c>
      <c r="AA30" t="str">
        <f>IF(F30&gt;Parametros!$B$7,"Sí","No")</f>
        <v>Sí</v>
      </c>
      <c r="AB30" s="15">
        <f>VLOOKUP(YEAR(D30),Parametros!$A$11:$B$21,2,FALSE)</f>
        <v>1.9E-2</v>
      </c>
      <c r="AC30" t="str">
        <f t="shared" si="8"/>
        <v>Sí</v>
      </c>
      <c r="AD30" t="str">
        <f>IF(N30="ruptura piso Donchian",IF(T30&gt;-Parametros!$B$6,"Sí","No"),"")</f>
        <v>No</v>
      </c>
      <c r="AE30" s="15">
        <f>IF(J30="","",(L30*(1-Parametros!$B$32))/(G30*(1+Parametros!$B$32))-1)</f>
        <v>-6.7541954295426532E-2</v>
      </c>
      <c r="AF30" s="15">
        <f t="shared" si="9"/>
        <v>3.737306796411155E-3</v>
      </c>
    </row>
    <row r="31" spans="1:32" x14ac:dyDescent="0.3">
      <c r="A31">
        <f t="shared" si="0"/>
        <v>28</v>
      </c>
      <c r="B31" cm="1">
        <f t="array" ref="B31">IFERROR(_xlfn.AGGREGATE(15,6,ROW('Motivos detalle'!$C$2:$C$274)/('Motivos detalle'!$C$2:$C$274="ENTRA"),A31),"")</f>
        <v>56</v>
      </c>
      <c r="C31" s="16" t="str" cm="1">
        <f t="array" ref="C31">INDEX('Motivos detalle'!$B:$B,$B31)</f>
        <v>XLK</v>
      </c>
      <c r="D31" s="17" cm="1">
        <f t="array" ref="D31">INDEX('Motivos detalle'!$A:$A,$B31)</f>
        <v>43168</v>
      </c>
      <c r="E31" s="16" cm="1">
        <f t="array" ref="E31">INDEX('Motivos detalle'!$E:$E,$B31)</f>
        <v>1</v>
      </c>
      <c r="F31" s="18" cm="1">
        <f t="array" ref="F31">INDEX('Motivos detalle'!$F:$F,$B31)</f>
        <v>0.35499999999999998</v>
      </c>
      <c r="G31" s="19" cm="1">
        <f t="array" ref="G31">INDEX('Motivos detalle'!$G:$G,$B31)</f>
        <v>32.5</v>
      </c>
      <c r="H31" s="19" cm="1">
        <f t="array" ref="H31">INDEX('Motivos detalle'!$H:$H,$B31)</f>
        <v>32.130000000000003</v>
      </c>
      <c r="I31" s="18">
        <f t="shared" si="1"/>
        <v>1.1515717398070224E-2</v>
      </c>
      <c r="J31" s="16" cm="1">
        <f t="array" ref="J31">IFERROR(_xlfn.AGGREGATE(15,6,ROW('Motivos detalle'!$C$2:$C$274)/(('Motivos detalle'!$C$2:$C$274="SALE")*('Motivos detalle'!$B$2:$B$274=C31)*(ROW('Motivos detalle'!$C$2:$C$274)&gt;B31)),1),"")</f>
        <v>57</v>
      </c>
      <c r="K31" s="17" cm="1">
        <f t="array" ref="K31">IF($J31="","",INDEX('Motivos detalle'!$A:$A,$J31))</f>
        <v>43182</v>
      </c>
      <c r="L31" s="19" cm="1">
        <f t="array" ref="L31">IF($J31="","",INDEX('Motivos detalle'!$G:$G,$J31))</f>
        <v>29.72</v>
      </c>
      <c r="M31" s="19" cm="1">
        <f t="array" ref="M31">IF($J31="","",INDEX('Motivos detalle'!$H:$H,$J31))</f>
        <v>30.46</v>
      </c>
      <c r="N31" s="16" t="str" cm="1">
        <f t="array" ref="N31">IF($J31="","Abierto",INDEX('Motivos detalle'!$D:$D,$J31))</f>
        <v>ruptura piso Donchian</v>
      </c>
      <c r="O31" s="16" cm="1">
        <f t="array" ref="O31">IF($J31="","",INDEX('Motivos detalle'!$E:$E,$J31))</f>
        <v>1</v>
      </c>
      <c r="P31">
        <f t="shared" si="2"/>
        <v>14</v>
      </c>
      <c r="Q31" s="14">
        <f t="shared" si="3"/>
        <v>-8.5538461538461563E-2</v>
      </c>
      <c r="R31" t="str">
        <f t="shared" si="4"/>
        <v>Perdedor</v>
      </c>
      <c r="S31" t="str">
        <f>VLOOKUP(F31,Parametros!$A$25:$B$29,2,TRUE)</f>
        <v>Más de 30%</v>
      </c>
      <c r="T31" s="14">
        <f t="shared" si="5"/>
        <v>-2.4294156270518785E-2</v>
      </c>
      <c r="U31" cm="1">
        <f t="array" ref="U31">IF(J31="","",IFERROR(_xlfn.AGGREGATE(15,6,ROW('Motivos detalle'!$C$2:$C$274)/(('Motivos detalle'!$C$2:$C$274="ENTRA")*('Motivos detalle'!$B$2:$B$274=C31)*(ROW('Motivos detalle'!$C$2:$C$274)&gt;J31)),1),""))</f>
        <v>58</v>
      </c>
      <c r="V31" s="17" cm="1">
        <f t="array" ref="V31">IF(U31="","",INDEX('Motivos detalle'!$A:$A,U31))</f>
        <v>43229</v>
      </c>
      <c r="W31">
        <f t="shared" si="6"/>
        <v>47</v>
      </c>
      <c r="X31" s="19" cm="1">
        <f t="array" ref="X31">IF(U31="","",INDEX('Motivos detalle'!$G:$G,U31))</f>
        <v>31.94</v>
      </c>
      <c r="Y31" t="str">
        <f>IF(W31="","No",IF(W31&lt;Parametros!$B$4,"Sí","No"))</f>
        <v>No</v>
      </c>
      <c r="Z31" s="14" t="str">
        <f t="shared" si="7"/>
        <v/>
      </c>
      <c r="AA31" t="str">
        <f>IF(F31&gt;Parametros!$B$7,"Sí","No")</f>
        <v>Sí</v>
      </c>
      <c r="AB31" s="15">
        <f>VLOOKUP(YEAR(D31),Parametros!$A$11:$B$21,2,FALSE)</f>
        <v>1.9E-2</v>
      </c>
      <c r="AC31" t="str">
        <f t="shared" si="8"/>
        <v>Sí</v>
      </c>
      <c r="AD31" t="str">
        <f>IF(N31="ruptura piso Donchian",IF(T31&gt;-Parametros!$B$6,"Sí","No"),"")</f>
        <v>No</v>
      </c>
      <c r="AE31" s="15">
        <f>IF(J31="","",(L31*(1-Parametros!$B$32))/(G31*(1+Parametros!$B$32))-1)</f>
        <v>-8.918900660218021E-2</v>
      </c>
      <c r="AF31" s="15">
        <f t="shared" si="9"/>
        <v>3.6505450637186465E-3</v>
      </c>
    </row>
    <row r="32" spans="1:32" x14ac:dyDescent="0.3">
      <c r="A32">
        <f t="shared" si="0"/>
        <v>29</v>
      </c>
      <c r="B32" cm="1">
        <f t="array" ref="B32">IFERROR(_xlfn.AGGREGATE(15,6,ROW('Motivos detalle'!$C$2:$C$274)/('Motivos detalle'!$C$2:$C$274="ENTRA"),A32),"")</f>
        <v>58</v>
      </c>
      <c r="C32" s="16" t="str" cm="1">
        <f t="array" ref="C32">INDEX('Motivos detalle'!$B:$B,$B32)</f>
        <v>XLK</v>
      </c>
      <c r="D32" s="17" cm="1">
        <f t="array" ref="D32">INDEX('Motivos detalle'!$A:$A,$B32)</f>
        <v>43229</v>
      </c>
      <c r="E32" s="16" cm="1">
        <f t="array" ref="E32">INDEX('Motivos detalle'!$E:$E,$B32)</f>
        <v>1</v>
      </c>
      <c r="F32" s="18" cm="1">
        <f t="array" ref="F32">INDEX('Motivos detalle'!$F:$F,$B32)</f>
        <v>0.26779999999999998</v>
      </c>
      <c r="G32" s="19" cm="1">
        <f t="array" ref="G32">INDEX('Motivos detalle'!$G:$G,$B32)</f>
        <v>31.94</v>
      </c>
      <c r="H32" s="19" cm="1">
        <f t="array" ref="H32">INDEX('Motivos detalle'!$H:$H,$B32)</f>
        <v>31.63</v>
      </c>
      <c r="I32" s="18">
        <f t="shared" si="1"/>
        <v>9.800822004426335E-3</v>
      </c>
      <c r="J32" s="16" cm="1">
        <f t="array" ref="J32">IFERROR(_xlfn.AGGREGATE(15,6,ROW('Motivos detalle'!$C$2:$C$274)/(('Motivos detalle'!$C$2:$C$274="SALE")*('Motivos detalle'!$B$2:$B$274=C32)*(ROW('Motivos detalle'!$C$2:$C$274)&gt;B32)),1),"")</f>
        <v>61</v>
      </c>
      <c r="K32" s="17" cm="1">
        <f t="array" ref="K32">IF($J32="","",INDEX('Motivos detalle'!$A:$A,$J32))</f>
        <v>43278</v>
      </c>
      <c r="L32" s="19" cm="1">
        <f t="array" ref="L32">IF($J32="","",INDEX('Motivos detalle'!$G:$G,$J32))</f>
        <v>31.86</v>
      </c>
      <c r="M32" s="19" cm="1">
        <f t="array" ref="M32">IF($J32="","",INDEX('Motivos detalle'!$H:$H,$J32))</f>
        <v>31.88</v>
      </c>
      <c r="N32" s="16" t="str" cm="1">
        <f t="array" ref="N32">IF($J32="","Abierto",INDEX('Motivos detalle'!$D:$D,$J32))</f>
        <v>ruptura piso Donchian</v>
      </c>
      <c r="O32" s="16" cm="1">
        <f t="array" ref="O32">IF($J32="","",INDEX('Motivos detalle'!$E:$E,$J32))</f>
        <v>1</v>
      </c>
      <c r="P32">
        <f t="shared" si="2"/>
        <v>49</v>
      </c>
      <c r="Q32" s="14">
        <f t="shared" si="3"/>
        <v>-2.5046963055730398E-3</v>
      </c>
      <c r="R32" t="str">
        <f t="shared" si="4"/>
        <v>Perdedor</v>
      </c>
      <c r="S32" t="str">
        <f>VLOOKUP(F32,Parametros!$A$25:$B$29,2,TRUE)</f>
        <v>15% a 30%</v>
      </c>
      <c r="T32" s="14">
        <f t="shared" si="5"/>
        <v>-6.2735257214552309E-4</v>
      </c>
      <c r="U32" cm="1">
        <f t="array" ref="U32">IF(J32="","",IFERROR(_xlfn.AGGREGATE(15,6,ROW('Motivos detalle'!$C$2:$C$274)/(('Motivos detalle'!$C$2:$C$274="ENTRA")*('Motivos detalle'!$B$2:$B$274=C32)*(ROW('Motivos detalle'!$C$2:$C$274)&gt;J32)),1),""))</f>
        <v>62</v>
      </c>
      <c r="V32" s="17" cm="1">
        <f t="array" ref="V32">IF(U32="","",INDEX('Motivos detalle'!$A:$A,U32))</f>
        <v>43293</v>
      </c>
      <c r="W32">
        <f t="shared" si="6"/>
        <v>15</v>
      </c>
      <c r="X32" s="19" cm="1">
        <f t="array" ref="X32">IF(U32="","",INDEX('Motivos detalle'!$G:$G,U32))</f>
        <v>33.69</v>
      </c>
      <c r="Y32" t="str">
        <f>IF(W32="","No",IF(W32&lt;Parametros!$B$4,"Sí","No"))</f>
        <v>No</v>
      </c>
      <c r="Z32" s="14" t="str">
        <f t="shared" si="7"/>
        <v/>
      </c>
      <c r="AA32" t="str">
        <f>IF(F32&gt;Parametros!$B$7,"Sí","No")</f>
        <v>Sí</v>
      </c>
      <c r="AB32" s="15">
        <f>VLOOKUP(YEAR(D32),Parametros!$A$11:$B$21,2,FALSE)</f>
        <v>1.9E-2</v>
      </c>
      <c r="AC32" t="str">
        <f t="shared" si="8"/>
        <v>Sí</v>
      </c>
      <c r="AD32" t="str">
        <f>IF(N32="ruptura piso Donchian",IF(T32&gt;-Parametros!$B$6,"Sí","No"),"")</f>
        <v>Sí</v>
      </c>
      <c r="AE32" s="15">
        <f>IF(J32="","",(L32*(1-Parametros!$B$32))/(G32*(1+Parametros!$B$32))-1)</f>
        <v>-6.4867134859899478E-3</v>
      </c>
      <c r="AF32" s="15">
        <f t="shared" si="9"/>
        <v>3.982017180416908E-3</v>
      </c>
    </row>
    <row r="33" spans="1:32" x14ac:dyDescent="0.3">
      <c r="A33">
        <f t="shared" si="0"/>
        <v>30</v>
      </c>
      <c r="B33" cm="1">
        <f t="array" ref="B33">IFERROR(_xlfn.AGGREGATE(15,6,ROW('Motivos detalle'!$C$2:$C$274)/('Motivos detalle'!$C$2:$C$274="ENTRA"),A33),"")</f>
        <v>59</v>
      </c>
      <c r="C33" s="16" t="str" cm="1">
        <f t="array" ref="C33">INDEX('Motivos detalle'!$B:$B,$B33)</f>
        <v>XLE</v>
      </c>
      <c r="D33" s="17" cm="1">
        <f t="array" ref="D33">INDEX('Motivos detalle'!$A:$A,$B33)</f>
        <v>43229</v>
      </c>
      <c r="E33" s="16" cm="1">
        <f t="array" ref="E33">INDEX('Motivos detalle'!$E:$E,$B33)</f>
        <v>3</v>
      </c>
      <c r="F33" s="18" cm="1">
        <f t="array" ref="F33">INDEX('Motivos detalle'!$F:$F,$B33)</f>
        <v>0.1699</v>
      </c>
      <c r="G33" s="19" cm="1">
        <f t="array" ref="G33">INDEX('Motivos detalle'!$G:$G,$B33)</f>
        <v>26.66</v>
      </c>
      <c r="H33" s="19" cm="1">
        <f t="array" ref="H33">INDEX('Motivos detalle'!$H:$H,$B33)</f>
        <v>26.49</v>
      </c>
      <c r="I33" s="18">
        <f t="shared" si="1"/>
        <v>6.4175160437902612E-3</v>
      </c>
      <c r="J33" s="16" cm="1">
        <f t="array" ref="J33">IFERROR(_xlfn.AGGREGATE(15,6,ROW('Motivos detalle'!$C$2:$C$274)/(('Motivos detalle'!$C$2:$C$274="SALE")*('Motivos detalle'!$B$2:$B$274=C33)*(ROW('Motivos detalle'!$C$2:$C$274)&gt;B33)),1),"")</f>
        <v>63</v>
      </c>
      <c r="K33" s="17" cm="1">
        <f t="array" ref="K33">IF($J33="","",INDEX('Motivos detalle'!$A:$A,$J33))</f>
        <v>43327</v>
      </c>
      <c r="L33" s="19" cm="1">
        <f t="array" ref="L33">IF($J33="","",INDEX('Motivos detalle'!$G:$G,$J33))</f>
        <v>25.38</v>
      </c>
      <c r="M33" s="19" cm="1">
        <f t="array" ref="M33">IF($J33="","",INDEX('Motivos detalle'!$H:$H,$J33))</f>
        <v>26.11</v>
      </c>
      <c r="N33" s="16" t="str" cm="1">
        <f t="array" ref="N33">IF($J33="","Abierto",INDEX('Motivos detalle'!$D:$D,$J33))</f>
        <v>ruptura piso Donchian</v>
      </c>
      <c r="O33" s="16" cm="1">
        <f t="array" ref="O33">IF($J33="","",INDEX('Motivos detalle'!$E:$E,$J33))</f>
        <v>3</v>
      </c>
      <c r="P33">
        <f t="shared" si="2"/>
        <v>98</v>
      </c>
      <c r="Q33" s="14">
        <f t="shared" si="3"/>
        <v>-4.8012003000750259E-2</v>
      </c>
      <c r="R33" t="str">
        <f t="shared" si="4"/>
        <v>Perdedor</v>
      </c>
      <c r="S33" t="str">
        <f>VLOOKUP(F33,Parametros!$A$25:$B$29,2,TRUE)</f>
        <v>15% a 30%</v>
      </c>
      <c r="T33" s="14">
        <f t="shared" si="5"/>
        <v>-2.7958636537725012E-2</v>
      </c>
      <c r="U33" cm="1">
        <f t="array" ref="U33">IF(J33="","",IFERROR(_xlfn.AGGREGATE(15,6,ROW('Motivos detalle'!$C$2:$C$274)/(('Motivos detalle'!$C$2:$C$274="ENTRA")*('Motivos detalle'!$B$2:$B$274=C33)*(ROW('Motivos detalle'!$C$2:$C$274)&gt;J33)),1),""))</f>
        <v>138</v>
      </c>
      <c r="V33" s="17" cm="1">
        <f t="array" ref="V33">IF(U33="","",INDEX('Motivos detalle'!$A:$A,U33))</f>
        <v>44454</v>
      </c>
      <c r="W33">
        <f t="shared" si="6"/>
        <v>1127</v>
      </c>
      <c r="X33" s="19" cm="1">
        <f t="array" ref="X33">IF(U33="","",INDEX('Motivos detalle'!$G:$G,U33))</f>
        <v>20.95</v>
      </c>
      <c r="Y33" t="str">
        <f>IF(W33="","No",IF(W33&lt;Parametros!$B$4,"Sí","No"))</f>
        <v>No</v>
      </c>
      <c r="Z33" s="14" t="str">
        <f t="shared" si="7"/>
        <v/>
      </c>
      <c r="AA33" t="str">
        <f>IF(F33&gt;Parametros!$B$7,"Sí","No")</f>
        <v>Sí</v>
      </c>
      <c r="AB33" s="15">
        <f>VLOOKUP(YEAR(D33),Parametros!$A$11:$B$21,2,FALSE)</f>
        <v>1.9E-2</v>
      </c>
      <c r="AC33" t="str">
        <f t="shared" si="8"/>
        <v>Sí</v>
      </c>
      <c r="AD33" t="str">
        <f>IF(N33="ruptura piso Donchian",IF(T33&gt;-Parametros!$B$6,"Sí","No"),"")</f>
        <v>No</v>
      </c>
      <c r="AE33" s="15">
        <f>IF(J33="","",(L33*(1-Parametros!$B$32))/(G33*(1+Parametros!$B$32))-1)</f>
        <v>-5.1812354286176365E-2</v>
      </c>
      <c r="AF33" s="15">
        <f t="shared" si="9"/>
        <v>3.8003512854261068E-3</v>
      </c>
    </row>
    <row r="34" spans="1:32" x14ac:dyDescent="0.3">
      <c r="A34">
        <f t="shared" si="0"/>
        <v>31</v>
      </c>
      <c r="B34" cm="1">
        <f t="array" ref="B34">IFERROR(_xlfn.AGGREGATE(15,6,ROW('Motivos detalle'!$C$2:$C$274)/('Motivos detalle'!$C$2:$C$274="ENTRA"),A34),"")</f>
        <v>60</v>
      </c>
      <c r="C34" s="16" t="str" cm="1">
        <f t="array" ref="C34">INDEX('Motivos detalle'!$B:$B,$B34)</f>
        <v>XLY</v>
      </c>
      <c r="D34" s="17" cm="1">
        <f t="array" ref="D34">INDEX('Motivos detalle'!$A:$A,$B34)</f>
        <v>43256</v>
      </c>
      <c r="E34" s="16" cm="1">
        <f t="array" ref="E34">INDEX('Motivos detalle'!$E:$E,$B34)</f>
        <v>3</v>
      </c>
      <c r="F34" s="18" cm="1">
        <f t="array" ref="F34">INDEX('Motivos detalle'!$F:$F,$B34)</f>
        <v>0.1933</v>
      </c>
      <c r="G34" s="19" cm="1">
        <f t="array" ref="G34">INDEX('Motivos detalle'!$G:$G,$B34)</f>
        <v>50.1</v>
      </c>
      <c r="H34" s="19" cm="1">
        <f t="array" ref="H34">INDEX('Motivos detalle'!$H:$H,$B34)</f>
        <v>49.82</v>
      </c>
      <c r="I34" s="18">
        <f t="shared" si="1"/>
        <v>5.6202328382175537E-3</v>
      </c>
      <c r="J34" s="16" cm="1">
        <f t="array" ref="J34">IFERROR(_xlfn.AGGREGATE(15,6,ROW('Motivos detalle'!$C$2:$C$274)/(('Motivos detalle'!$C$2:$C$274="SALE")*('Motivos detalle'!$B$2:$B$274=C34)*(ROW('Motivos detalle'!$C$2:$C$274)&gt;B34)),1),"")</f>
        <v>67</v>
      </c>
      <c r="K34" s="17" cm="1">
        <f t="array" ref="K34">IF($J34="","",INDEX('Motivos detalle'!$A:$A,$J34))</f>
        <v>43377</v>
      </c>
      <c r="L34" s="19" cm="1">
        <f t="array" ref="L34">IF($J34="","",INDEX('Motivos detalle'!$G:$G,$J34))</f>
        <v>52.58</v>
      </c>
      <c r="M34" s="19" cm="1">
        <f t="array" ref="M34">IF($J34="","",INDEX('Motivos detalle'!$H:$H,$J34))</f>
        <v>53.21</v>
      </c>
      <c r="N34" s="16" t="str" cm="1">
        <f t="array" ref="N34">IF($J34="","Abierto",INDEX('Motivos detalle'!$D:$D,$J34))</f>
        <v>ruptura piso Donchian</v>
      </c>
      <c r="O34" s="16" cm="1">
        <f t="array" ref="O34">IF($J34="","",INDEX('Motivos detalle'!$E:$E,$J34))</f>
        <v>2</v>
      </c>
      <c r="P34">
        <f t="shared" si="2"/>
        <v>121</v>
      </c>
      <c r="Q34" s="14">
        <f t="shared" si="3"/>
        <v>4.9500998003991992E-2</v>
      </c>
      <c r="R34" t="str">
        <f t="shared" si="4"/>
        <v>Ganador</v>
      </c>
      <c r="S34" t="str">
        <f>VLOOKUP(F34,Parametros!$A$25:$B$29,2,TRUE)</f>
        <v>15% a 30%</v>
      </c>
      <c r="T34" s="14">
        <f t="shared" si="5"/>
        <v>-1.183987972185685E-2</v>
      </c>
      <c r="U34" cm="1">
        <f t="array" ref="U34">IF(J34="","",IFERROR(_xlfn.AGGREGATE(15,6,ROW('Motivos detalle'!$C$2:$C$274)/(('Motivos detalle'!$C$2:$C$274="ENTRA")*('Motivos detalle'!$B$2:$B$274=C34)*(ROW('Motivos detalle'!$C$2:$C$274)&gt;J34)),1),""))</f>
        <v>74</v>
      </c>
      <c r="V34" s="17" cm="1">
        <f t="array" ref="V34">IF(U34="","",INDEX('Motivos detalle'!$A:$A,U34))</f>
        <v>43495</v>
      </c>
      <c r="W34">
        <f t="shared" si="6"/>
        <v>118</v>
      </c>
      <c r="X34" s="19" cm="1">
        <f t="array" ref="X34">IF(U34="","",INDEX('Motivos detalle'!$G:$G,U34))</f>
        <v>50.31</v>
      </c>
      <c r="Y34" t="str">
        <f>IF(W34="","No",IF(W34&lt;Parametros!$B$4,"Sí","No"))</f>
        <v>No</v>
      </c>
      <c r="Z34" s="14" t="str">
        <f t="shared" si="7"/>
        <v/>
      </c>
      <c r="AA34" t="str">
        <f>IF(F34&gt;Parametros!$B$7,"Sí","No")</f>
        <v>Sí</v>
      </c>
      <c r="AB34" s="15">
        <f>VLOOKUP(YEAR(D34),Parametros!$A$11:$B$21,2,FALSE)</f>
        <v>1.9E-2</v>
      </c>
      <c r="AC34" t="str">
        <f t="shared" si="8"/>
        <v>Sí</v>
      </c>
      <c r="AD34" t="str">
        <f>IF(N34="ruptura piso Donchian",IF(T34&gt;-Parametros!$B$6,"Sí","No"),"")</f>
        <v>No</v>
      </c>
      <c r="AE34" s="15">
        <f>IF(J34="","",(L34*(1-Parametros!$B$32))/(G34*(1+Parametros!$B$32))-1)</f>
        <v>4.5311373261461174E-2</v>
      </c>
      <c r="AF34" s="15">
        <f t="shared" si="9"/>
        <v>4.1896247425308175E-3</v>
      </c>
    </row>
    <row r="35" spans="1:32" x14ac:dyDescent="0.3">
      <c r="A35">
        <f t="shared" si="0"/>
        <v>32</v>
      </c>
      <c r="B35" cm="1">
        <f t="array" ref="B35">IFERROR(_xlfn.AGGREGATE(15,6,ROW('Motivos detalle'!$C$2:$C$274)/('Motivos detalle'!$C$2:$C$274="ENTRA"),A35),"")</f>
        <v>62</v>
      </c>
      <c r="C35" s="16" t="str" cm="1">
        <f t="array" ref="C35">INDEX('Motivos detalle'!$B:$B,$B35)</f>
        <v>XLK</v>
      </c>
      <c r="D35" s="17" cm="1">
        <f t="array" ref="D35">INDEX('Motivos detalle'!$A:$A,$B35)</f>
        <v>43293</v>
      </c>
      <c r="E35" s="16" cm="1">
        <f t="array" ref="E35">INDEX('Motivos detalle'!$E:$E,$B35)</f>
        <v>1</v>
      </c>
      <c r="F35" s="18" cm="1">
        <f t="array" ref="F35">INDEX('Motivos detalle'!$F:$F,$B35)</f>
        <v>0.30919999999999997</v>
      </c>
      <c r="G35" s="19" cm="1">
        <f t="array" ref="G35">INDEX('Motivos detalle'!$G:$G,$B35)</f>
        <v>33.69</v>
      </c>
      <c r="H35" s="19" cm="1">
        <f t="array" ref="H35">INDEX('Motivos detalle'!$H:$H,$B35)</f>
        <v>33.49</v>
      </c>
      <c r="I35" s="18">
        <f t="shared" si="1"/>
        <v>5.9719319199760257E-3</v>
      </c>
      <c r="J35" s="16" cm="1">
        <f t="array" ref="J35">IFERROR(_xlfn.AGGREGATE(15,6,ROW('Motivos detalle'!$C$2:$C$274)/(('Motivos detalle'!$C$2:$C$274="SALE")*('Motivos detalle'!$B$2:$B$274=C35)*(ROW('Motivos detalle'!$C$2:$C$274)&gt;B35)),1),"")</f>
        <v>68</v>
      </c>
      <c r="K35" s="17" cm="1">
        <f t="array" ref="K35">IF($J35="","",INDEX('Motivos detalle'!$A:$A,$J35))</f>
        <v>43381</v>
      </c>
      <c r="L35" s="19" cm="1">
        <f t="array" ref="L35">IF($J35="","",INDEX('Motivos detalle'!$G:$G,$J35))</f>
        <v>33.89</v>
      </c>
      <c r="M35" s="19" cm="1">
        <f t="array" ref="M35">IF($J35="","",INDEX('Motivos detalle'!$H:$H,$J35))</f>
        <v>33.94</v>
      </c>
      <c r="N35" s="16" t="str" cm="1">
        <f t="array" ref="N35">IF($J35="","Abierto",INDEX('Motivos detalle'!$D:$D,$J35))</f>
        <v>ruptura piso Donchian</v>
      </c>
      <c r="O35" s="16" cm="1">
        <f t="array" ref="O35">IF($J35="","",INDEX('Motivos detalle'!$E:$E,$J35))</f>
        <v>2</v>
      </c>
      <c r="P35">
        <f t="shared" si="2"/>
        <v>88</v>
      </c>
      <c r="Q35" s="14">
        <f t="shared" si="3"/>
        <v>5.9364796675571707E-3</v>
      </c>
      <c r="R35" t="str">
        <f t="shared" si="4"/>
        <v>Ganador</v>
      </c>
      <c r="S35" t="str">
        <f>VLOOKUP(F35,Parametros!$A$25:$B$29,2,TRUE)</f>
        <v>Más de 30%</v>
      </c>
      <c r="T35" s="14">
        <f t="shared" si="5"/>
        <v>-1.4731879787860391E-3</v>
      </c>
      <c r="U35" cm="1">
        <f t="array" ref="U35">IF(J35="","",IFERROR(_xlfn.AGGREGATE(15,6,ROW('Motivos detalle'!$C$2:$C$274)/(('Motivos detalle'!$C$2:$C$274="ENTRA")*('Motivos detalle'!$B$2:$B$274=C35)*(ROW('Motivos detalle'!$C$2:$C$274)&gt;J35)),1),""))</f>
        <v>76</v>
      </c>
      <c r="V35" s="17" cm="1">
        <f t="array" ref="V35">IF(U35="","",INDEX('Motivos detalle'!$A:$A,U35))</f>
        <v>43558</v>
      </c>
      <c r="W35">
        <f t="shared" si="6"/>
        <v>177</v>
      </c>
      <c r="X35" s="19" cm="1">
        <f t="array" ref="X35">IF(U35="","",INDEX('Motivos detalle'!$G:$G,U35))</f>
        <v>35.590000000000003</v>
      </c>
      <c r="Y35" t="str">
        <f>IF(W35="","No",IF(W35&lt;Parametros!$B$4,"Sí","No"))</f>
        <v>No</v>
      </c>
      <c r="Z35" s="14" t="str">
        <f t="shared" si="7"/>
        <v/>
      </c>
      <c r="AA35" t="str">
        <f>IF(F35&gt;Parametros!$B$7,"Sí","No")</f>
        <v>Sí</v>
      </c>
      <c r="AB35" s="15">
        <f>VLOOKUP(YEAR(D35),Parametros!$A$11:$B$21,2,FALSE)</f>
        <v>1.9E-2</v>
      </c>
      <c r="AC35" t="str">
        <f t="shared" si="8"/>
        <v>Sí</v>
      </c>
      <c r="AD35" t="str">
        <f>IF(N35="ruptura piso Donchian",IF(T35&gt;-Parametros!$B$6,"Sí","No"),"")</f>
        <v>Sí</v>
      </c>
      <c r="AE35" s="15">
        <f>IF(J35="","",(L35*(1-Parametros!$B$32))/(G35*(1+Parametros!$B$32))-1)</f>
        <v>1.9207651778663237E-3</v>
      </c>
      <c r="AF35" s="15">
        <f t="shared" si="9"/>
        <v>4.015714489690847E-3</v>
      </c>
    </row>
    <row r="36" spans="1:32" x14ac:dyDescent="0.3">
      <c r="A36">
        <f t="shared" si="0"/>
        <v>33</v>
      </c>
      <c r="B36" cm="1">
        <f t="array" ref="B36">IFERROR(_xlfn.AGGREGATE(15,6,ROW('Motivos detalle'!$C$2:$C$274)/('Motivos detalle'!$C$2:$C$274="ENTRA"),A36),"")</f>
        <v>64</v>
      </c>
      <c r="C36" s="16" t="str" cm="1">
        <f t="array" ref="C36">INDEX('Motivos detalle'!$B:$B,$B36)</f>
        <v>XLI</v>
      </c>
      <c r="D36" s="17" cm="1">
        <f t="array" ref="D36">INDEX('Motivos detalle'!$A:$A,$B36)</f>
        <v>43361</v>
      </c>
      <c r="E36" s="16" cm="1">
        <f t="array" ref="E36">INDEX('Motivos detalle'!$E:$E,$B36)</f>
        <v>3</v>
      </c>
      <c r="F36" s="18" cm="1">
        <f t="array" ref="F36">INDEX('Motivos detalle'!$F:$F,$B36)</f>
        <v>0.15939999999999999</v>
      </c>
      <c r="G36" s="19" cm="1">
        <f t="array" ref="G36">INDEX('Motivos detalle'!$G:$G,$B36)</f>
        <v>69.86</v>
      </c>
      <c r="H36" s="19" cm="1">
        <f t="array" ref="H36">INDEX('Motivos detalle'!$H:$H,$B36)</f>
        <v>69.53</v>
      </c>
      <c r="I36" s="18">
        <f t="shared" si="1"/>
        <v>4.7461527398244829E-3</v>
      </c>
      <c r="J36" s="16" cm="1">
        <f t="array" ref="J36">IFERROR(_xlfn.AGGREGATE(15,6,ROW('Motivos detalle'!$C$2:$C$274)/(('Motivos detalle'!$C$2:$C$274="SALE")*('Motivos detalle'!$B$2:$B$274=C36)*(ROW('Motivos detalle'!$C$2:$C$274)&gt;B36)),1),"")</f>
        <v>65</v>
      </c>
      <c r="K36" s="17" cm="1">
        <f t="array" ref="K36">IF($J36="","",INDEX('Motivos detalle'!$A:$A,$J36))</f>
        <v>43367</v>
      </c>
      <c r="L36" s="19" cm="1">
        <f t="array" ref="L36">IF($J36="","",INDEX('Motivos detalle'!$G:$G,$J36))</f>
        <v>69.150000000000006</v>
      </c>
      <c r="M36" s="19" cm="1">
        <f t="array" ref="M36">IF($J36="","",INDEX('Motivos detalle'!$H:$H,$J36))</f>
        <v>66.83</v>
      </c>
      <c r="N36" s="16" t="str" cm="1">
        <f t="array" ref="N36">IF($J36="","Abierto",INDEX('Motivos detalle'!$D:$D,$J36))</f>
        <v>cae del ranking (&gt;#5)</v>
      </c>
      <c r="O36" s="16" cm="1">
        <f t="array" ref="O36">IF($J36="","",INDEX('Motivos detalle'!$E:$E,$J36))</f>
        <v>6</v>
      </c>
      <c r="P36">
        <f t="shared" si="2"/>
        <v>6</v>
      </c>
      <c r="Q36" s="14">
        <f t="shared" si="3"/>
        <v>-1.0163183509876772E-2</v>
      </c>
      <c r="R36" t="str">
        <f t="shared" si="4"/>
        <v>Perdedor</v>
      </c>
      <c r="S36" t="str">
        <f>VLOOKUP(F36,Parametros!$A$25:$B$29,2,TRUE)</f>
        <v>15% a 30%</v>
      </c>
      <c r="T36" s="14" t="str">
        <f t="shared" si="5"/>
        <v/>
      </c>
      <c r="U36" cm="1">
        <f t="array" ref="U36">IF(J36="","",IFERROR(_xlfn.AGGREGATE(15,6,ROW('Motivos detalle'!$C$2:$C$274)/(('Motivos detalle'!$C$2:$C$274="ENTRA")*('Motivos detalle'!$B$2:$B$274=C36)*(ROW('Motivos detalle'!$C$2:$C$274)&gt;J36)),1),""))</f>
        <v>126</v>
      </c>
      <c r="V36" s="17" cm="1">
        <f t="array" ref="V36">IF(U36="","",INDEX('Motivos detalle'!$A:$A,U36))</f>
        <v>44323</v>
      </c>
      <c r="W36">
        <f t="shared" si="6"/>
        <v>956</v>
      </c>
      <c r="X36" s="19" cm="1">
        <f t="array" ref="X36">IF(U36="","",INDEX('Motivos detalle'!$G:$G,U36))</f>
        <v>97.38</v>
      </c>
      <c r="Y36" t="str">
        <f>IF(W36="","No",IF(W36&lt;Parametros!$B$4,"Sí","No"))</f>
        <v>No</v>
      </c>
      <c r="Z36" s="14" t="str">
        <f t="shared" si="7"/>
        <v/>
      </c>
      <c r="AA36" t="str">
        <f>IF(F36&gt;Parametros!$B$7,"Sí","No")</f>
        <v>Sí</v>
      </c>
      <c r="AB36" s="15">
        <f>VLOOKUP(YEAR(D36),Parametros!$A$11:$B$21,2,FALSE)</f>
        <v>1.9E-2</v>
      </c>
      <c r="AC36" t="str">
        <f t="shared" si="8"/>
        <v>Sí</v>
      </c>
      <c r="AD36" t="str">
        <f>IF(N36="ruptura piso Donchian",IF(T36&gt;-Parametros!$B$6,"Sí","No"),"")</f>
        <v/>
      </c>
      <c r="AE36" s="15">
        <f>IF(J36="","",(L36*(1-Parametros!$B$32))/(G36*(1+Parametros!$B$32))-1)</f>
        <v>-1.4114627887082842E-2</v>
      </c>
      <c r="AF36" s="15">
        <f t="shared" si="9"/>
        <v>3.9514443772060703E-3</v>
      </c>
    </row>
    <row r="37" spans="1:32" x14ac:dyDescent="0.3">
      <c r="A37">
        <f t="shared" si="0"/>
        <v>34</v>
      </c>
      <c r="B37" cm="1">
        <f t="array" ref="B37">IFERROR(_xlfn.AGGREGATE(15,6,ROW('Motivos detalle'!$C$2:$C$274)/('Motivos detalle'!$C$2:$C$274="ENTRA"),A37),"")</f>
        <v>66</v>
      </c>
      <c r="C37" s="16" t="str" cm="1">
        <f t="array" ref="C37">INDEX('Motivos detalle'!$B:$B,$B37)</f>
        <v>XLV</v>
      </c>
      <c r="D37" s="17" cm="1">
        <f t="array" ref="D37">INDEX('Motivos detalle'!$A:$A,$B37)</f>
        <v>43374</v>
      </c>
      <c r="E37" s="16" cm="1">
        <f t="array" ref="E37">INDEX('Motivos detalle'!$E:$E,$B37)</f>
        <v>3</v>
      </c>
      <c r="F37" s="18" cm="1">
        <f t="array" ref="F37">INDEX('Motivos detalle'!$F:$F,$B37)</f>
        <v>0.18770000000000001</v>
      </c>
      <c r="G37" s="19" cm="1">
        <f t="array" ref="G37">INDEX('Motivos detalle'!$G:$G,$B37)</f>
        <v>83.73</v>
      </c>
      <c r="H37" s="19" cm="1">
        <f t="array" ref="H37">INDEX('Motivos detalle'!$H:$H,$B37)</f>
        <v>83.37</v>
      </c>
      <c r="I37" s="18">
        <f t="shared" si="1"/>
        <v>4.318100035984207E-3</v>
      </c>
      <c r="J37" s="16" cm="1">
        <f t="array" ref="J37">IFERROR(_xlfn.AGGREGATE(15,6,ROW('Motivos detalle'!$C$2:$C$274)/(('Motivos detalle'!$C$2:$C$274="SALE")*('Motivos detalle'!$B$2:$B$274=C37)*(ROW('Motivos detalle'!$C$2:$C$274)&gt;B37)),1),"")</f>
        <v>69</v>
      </c>
      <c r="K37" s="17" cm="1">
        <f t="array" ref="K37">IF($J37="","",INDEX('Motivos detalle'!$A:$A,$J37))</f>
        <v>43384</v>
      </c>
      <c r="L37" s="19" cm="1">
        <f t="array" ref="L37">IF($J37="","",INDEX('Motivos detalle'!$G:$G,$J37))</f>
        <v>78.540000000000006</v>
      </c>
      <c r="M37" s="19" cm="1">
        <f t="array" ref="M37">IF($J37="","",INDEX('Motivos detalle'!$H:$H,$J37))</f>
        <v>80.66</v>
      </c>
      <c r="N37" s="16" t="str" cm="1">
        <f t="array" ref="N37">IF($J37="","Abierto",INDEX('Motivos detalle'!$D:$D,$J37))</f>
        <v>ruptura piso Donchian</v>
      </c>
      <c r="O37" s="16" cm="1">
        <f t="array" ref="O37">IF($J37="","",INDEX('Motivos detalle'!$E:$E,$J37))</f>
        <v>3</v>
      </c>
      <c r="P37">
        <f t="shared" si="2"/>
        <v>10</v>
      </c>
      <c r="Q37" s="14">
        <f t="shared" si="3"/>
        <v>-6.1984951630239982E-2</v>
      </c>
      <c r="R37" t="str">
        <f t="shared" si="4"/>
        <v>Perdedor</v>
      </c>
      <c r="S37" t="str">
        <f>VLOOKUP(F37,Parametros!$A$25:$B$29,2,TRUE)</f>
        <v>15% a 30%</v>
      </c>
      <c r="T37" s="14">
        <f t="shared" si="5"/>
        <v>-2.6283163897842687E-2</v>
      </c>
      <c r="U37" cm="1">
        <f t="array" ref="U37">IF(J37="","",IFERROR(_xlfn.AGGREGATE(15,6,ROW('Motivos detalle'!$C$2:$C$274)/(('Motivos detalle'!$C$2:$C$274="ENTRA")*('Motivos detalle'!$B$2:$B$274=C37)*(ROW('Motivos detalle'!$C$2:$C$274)&gt;J37)),1),""))</f>
        <v>70</v>
      </c>
      <c r="V37" s="17" cm="1">
        <f t="array" ref="V37">IF(U37="","",INDEX('Motivos detalle'!$A:$A,U37))</f>
        <v>43434</v>
      </c>
      <c r="W37">
        <f t="shared" si="6"/>
        <v>50</v>
      </c>
      <c r="X37" s="19" cm="1">
        <f t="array" ref="X37">IF(U37="","",INDEX('Motivos detalle'!$G:$G,U37))</f>
        <v>83.95</v>
      </c>
      <c r="Y37" t="str">
        <f>IF(W37="","No",IF(W37&lt;Parametros!$B$4,"Sí","No"))</f>
        <v>No</v>
      </c>
      <c r="Z37" s="14" t="str">
        <f t="shared" si="7"/>
        <v/>
      </c>
      <c r="AA37" t="str">
        <f>IF(F37&gt;Parametros!$B$7,"Sí","No")</f>
        <v>Sí</v>
      </c>
      <c r="AB37" s="15">
        <f>VLOOKUP(YEAR(D37),Parametros!$A$11:$B$21,2,FALSE)</f>
        <v>1.9E-2</v>
      </c>
      <c r="AC37" t="str">
        <f t="shared" si="8"/>
        <v>Sí</v>
      </c>
      <c r="AD37" t="str">
        <f>IF(N37="ruptura piso Donchian",IF(T37&gt;-Parametros!$B$6,"Sí","No"),"")</f>
        <v>No</v>
      </c>
      <c r="AE37" s="15">
        <f>IF(J37="","",(L37*(1-Parametros!$B$32))/(G37*(1+Parametros!$B$32))-1)</f>
        <v>-6.5729522681616248E-2</v>
      </c>
      <c r="AF37" s="15">
        <f t="shared" si="9"/>
        <v>3.7445710513762664E-3</v>
      </c>
    </row>
    <row r="38" spans="1:32" x14ac:dyDescent="0.3">
      <c r="A38">
        <f t="shared" si="0"/>
        <v>35</v>
      </c>
      <c r="B38" cm="1">
        <f t="array" ref="B38">IFERROR(_xlfn.AGGREGATE(15,6,ROW('Motivos detalle'!$C$2:$C$274)/('Motivos detalle'!$C$2:$C$274="ENTRA"),A38),"")</f>
        <v>70</v>
      </c>
      <c r="C38" s="16" t="str" cm="1">
        <f t="array" ref="C38">INDEX('Motivos detalle'!$B:$B,$B38)</f>
        <v>XLV</v>
      </c>
      <c r="D38" s="17" cm="1">
        <f t="array" ref="D38">INDEX('Motivos detalle'!$A:$A,$B38)</f>
        <v>43434</v>
      </c>
      <c r="E38" s="16" cm="1">
        <f t="array" ref="E38">INDEX('Motivos detalle'!$E:$E,$B38)</f>
        <v>1</v>
      </c>
      <c r="F38" s="18" cm="1">
        <f t="array" ref="F38">INDEX('Motivos detalle'!$F:$F,$B38)</f>
        <v>0.16600000000000001</v>
      </c>
      <c r="G38" s="19" cm="1">
        <f t="array" ref="G38">INDEX('Motivos detalle'!$G:$G,$B38)</f>
        <v>83.95</v>
      </c>
      <c r="H38" s="19" cm="1">
        <f t="array" ref="H38">INDEX('Motivos detalle'!$H:$H,$B38)</f>
        <v>82.76</v>
      </c>
      <c r="I38" s="18">
        <f t="shared" si="1"/>
        <v>1.4378927017882903E-2</v>
      </c>
      <c r="J38" s="16" cm="1">
        <f t="array" ref="J38">IFERROR(_xlfn.AGGREGATE(15,6,ROW('Motivos detalle'!$C$2:$C$274)/(('Motivos detalle'!$C$2:$C$274="SALE")*('Motivos detalle'!$B$2:$B$274=C38)*(ROW('Motivos detalle'!$C$2:$C$274)&gt;B38)),1),"")</f>
        <v>71</v>
      </c>
      <c r="K38" s="17" cm="1">
        <f t="array" ref="K38">IF($J38="","",INDEX('Motivos detalle'!$A:$A,$J38))</f>
        <v>43451</v>
      </c>
      <c r="L38" s="19" cm="1">
        <f t="array" ref="L38">IF($J38="","",INDEX('Motivos detalle'!$G:$G,$J38))</f>
        <v>76.349999999999994</v>
      </c>
      <c r="M38" s="19" cm="1">
        <f t="array" ref="M38">IF($J38="","",INDEX('Motivos detalle'!$H:$H,$J38))</f>
        <v>77.63</v>
      </c>
      <c r="N38" s="16" t="str" cm="1">
        <f t="array" ref="N38">IF($J38="","Abierto",INDEX('Motivos detalle'!$D:$D,$J38))</f>
        <v>ruptura piso Donchian</v>
      </c>
      <c r="O38" s="16" cm="1">
        <f t="array" ref="O38">IF($J38="","",INDEX('Motivos detalle'!$E:$E,$J38))</f>
        <v>1</v>
      </c>
      <c r="P38">
        <f t="shared" si="2"/>
        <v>17</v>
      </c>
      <c r="Q38" s="14">
        <f t="shared" si="3"/>
        <v>-9.0530077427040001E-2</v>
      </c>
      <c r="R38" t="str">
        <f t="shared" si="4"/>
        <v>Perdedor</v>
      </c>
      <c r="S38" t="str">
        <f>VLOOKUP(F38,Parametros!$A$25:$B$29,2,TRUE)</f>
        <v>15% a 30%</v>
      </c>
      <c r="T38" s="14">
        <f t="shared" si="5"/>
        <v>-1.6488470951951606E-2</v>
      </c>
      <c r="U38" cm="1">
        <f t="array" ref="U38">IF(J38="","",IFERROR(_xlfn.AGGREGATE(15,6,ROW('Motivos detalle'!$C$2:$C$274)/(('Motivos detalle'!$C$2:$C$274="ENTRA")*('Motivos detalle'!$B$2:$B$274=C38)*(ROW('Motivos detalle'!$C$2:$C$274)&gt;J38)),1),""))</f>
        <v>72</v>
      </c>
      <c r="V38" s="17" cm="1">
        <f t="array" ref="V38">IF(U38="","",INDEX('Motivos detalle'!$A:$A,U38))</f>
        <v>43483</v>
      </c>
      <c r="W38">
        <f t="shared" si="6"/>
        <v>32</v>
      </c>
      <c r="X38" s="19" cm="1">
        <f t="array" ref="X38">IF(U38="","",INDEX('Motivos detalle'!$G:$G,U38))</f>
        <v>79.239999999999995</v>
      </c>
      <c r="Y38" t="str">
        <f>IF(W38="","No",IF(W38&lt;Parametros!$B$4,"Sí","No"))</f>
        <v>No</v>
      </c>
      <c r="Z38" s="14" t="str">
        <f t="shared" si="7"/>
        <v/>
      </c>
      <c r="AA38" t="str">
        <f>IF(F38&gt;Parametros!$B$7,"Sí","No")</f>
        <v>Sí</v>
      </c>
      <c r="AB38" s="15">
        <f>VLOOKUP(YEAR(D38),Parametros!$A$11:$B$21,2,FALSE)</f>
        <v>1.9E-2</v>
      </c>
      <c r="AC38" t="str">
        <f t="shared" si="8"/>
        <v>Sí</v>
      </c>
      <c r="AD38" t="str">
        <f>IF(N38="ruptura piso Donchian",IF(T38&gt;-Parametros!$B$6,"Sí","No"),"")</f>
        <v>No</v>
      </c>
      <c r="AE38" s="15">
        <f>IF(J38="","",(L38*(1-Parametros!$B$32))/(G38*(1+Parametros!$B$32))-1)</f>
        <v>-9.4160695880425083E-2</v>
      </c>
      <c r="AF38" s="15">
        <f t="shared" si="9"/>
        <v>3.6306184533850816E-3</v>
      </c>
    </row>
    <row r="39" spans="1:32" x14ac:dyDescent="0.3">
      <c r="A39">
        <f t="shared" si="0"/>
        <v>36</v>
      </c>
      <c r="B39" cm="1">
        <f t="array" ref="B39">IFERROR(_xlfn.AGGREGATE(15,6,ROW('Motivos detalle'!$C$2:$C$274)/('Motivos detalle'!$C$2:$C$274="ENTRA"),A39),"")</f>
        <v>72</v>
      </c>
      <c r="C39" s="16" t="str" cm="1">
        <f t="array" ref="C39">INDEX('Motivos detalle'!$B:$B,$B39)</f>
        <v>XLV</v>
      </c>
      <c r="D39" s="17" cm="1">
        <f t="array" ref="D39">INDEX('Motivos detalle'!$A:$A,$B39)</f>
        <v>43483</v>
      </c>
      <c r="E39" s="16" cm="1">
        <f t="array" ref="E39">INDEX('Motivos detalle'!$E:$E,$B39)</f>
        <v>3</v>
      </c>
      <c r="F39" s="18" cm="1">
        <f t="array" ref="F39">INDEX('Motivos detalle'!$F:$F,$B39)</f>
        <v>3.85E-2</v>
      </c>
      <c r="G39" s="19" cm="1">
        <f t="array" ref="G39">INDEX('Motivos detalle'!$G:$G,$B39)</f>
        <v>79.239999999999995</v>
      </c>
      <c r="H39" s="19" cm="1">
        <f t="array" ref="H39">INDEX('Motivos detalle'!$H:$H,$B39)</f>
        <v>78.63</v>
      </c>
      <c r="I39" s="18">
        <f t="shared" si="1"/>
        <v>7.7578532366782138E-3</v>
      </c>
      <c r="J39" s="16" cm="1">
        <f t="array" ref="J39">IFERROR(_xlfn.AGGREGATE(15,6,ROW('Motivos detalle'!$C$2:$C$274)/(('Motivos detalle'!$C$2:$C$274="SALE")*('Motivos detalle'!$B$2:$B$274=C39)*(ROW('Motivos detalle'!$C$2:$C$274)&gt;B39)),1),"")</f>
        <v>77</v>
      </c>
      <c r="K39" s="17" cm="1">
        <f t="array" ref="K39">IF($J39="","",INDEX('Motivos detalle'!$A:$A,$J39))</f>
        <v>43571</v>
      </c>
      <c r="L39" s="19" cm="1">
        <f t="array" ref="L39">IF($J39="","",INDEX('Motivos detalle'!$G:$G,$J39))</f>
        <v>77.98</v>
      </c>
      <c r="M39" s="19" cm="1">
        <f t="array" ref="M39">IF($J39="","",INDEX('Motivos detalle'!$H:$H,$J39))</f>
        <v>79.16</v>
      </c>
      <c r="N39" s="16" t="str" cm="1">
        <f t="array" ref="N39">IF($J39="","Abierto",INDEX('Motivos detalle'!$D:$D,$J39))</f>
        <v>ruptura piso Donchian + cae del ranking (&gt;#5)</v>
      </c>
      <c r="O39" s="16" cm="1">
        <f t="array" ref="O39">IF($J39="","",INDEX('Motivos detalle'!$E:$E,$J39))</f>
        <v>6</v>
      </c>
      <c r="P39">
        <f t="shared" si="2"/>
        <v>88</v>
      </c>
      <c r="Q39" s="14">
        <f t="shared" si="3"/>
        <v>-1.5901060070671269E-2</v>
      </c>
      <c r="R39" t="str">
        <f t="shared" si="4"/>
        <v>Perdedor</v>
      </c>
      <c r="S39" t="str">
        <f>VLOOKUP(F39,Parametros!$A$25:$B$29,2,TRUE)</f>
        <v>0% a 5%</v>
      </c>
      <c r="T39" s="14">
        <f t="shared" si="5"/>
        <v>-1.4906518443658312E-2</v>
      </c>
      <c r="U39" cm="1">
        <f t="array" ref="U39">IF(J39="","",IFERROR(_xlfn.AGGREGATE(15,6,ROW('Motivos detalle'!$C$2:$C$274)/(('Motivos detalle'!$C$2:$C$274="ENTRA")*('Motivos detalle'!$B$2:$B$274=C39)*(ROW('Motivos detalle'!$C$2:$C$274)&gt;J39)),1),""))</f>
        <v>98</v>
      </c>
      <c r="V39" s="17" cm="1">
        <f t="array" ref="V39">IF(U39="","",INDEX('Motivos detalle'!$A:$A,U39))</f>
        <v>43929</v>
      </c>
      <c r="W39">
        <f t="shared" si="6"/>
        <v>358</v>
      </c>
      <c r="X39" s="19" cm="1">
        <f t="array" ref="X39">IF(U39="","",INDEX('Motivos detalle'!$G:$G,U39))</f>
        <v>85.28</v>
      </c>
      <c r="Y39" t="str">
        <f>IF(W39="","No",IF(W39&lt;Parametros!$B$4,"Sí","No"))</f>
        <v>No</v>
      </c>
      <c r="Z39" s="14" t="str">
        <f t="shared" si="7"/>
        <v/>
      </c>
      <c r="AA39" t="str">
        <f>IF(F39&gt;Parametros!$B$7,"Sí","No")</f>
        <v>Sí</v>
      </c>
      <c r="AB39" s="15">
        <f>VLOOKUP(YEAR(D39),Parametros!$A$11:$B$21,2,FALSE)</f>
        <v>2.1000000000000001E-2</v>
      </c>
      <c r="AC39" t="str">
        <f t="shared" si="8"/>
        <v>Sí</v>
      </c>
      <c r="AD39" t="str">
        <f>IF(N39="ruptura piso Donchian",IF(T39&gt;-Parametros!$B$6,"Sí","No"),"")</f>
        <v/>
      </c>
      <c r="AE39" s="15">
        <f>IF(J39="","",(L39*(1-Parametros!$B$32))/(G39*(1+Parametros!$B$32))-1)</f>
        <v>-1.9829598753023703E-2</v>
      </c>
      <c r="AF39" s="15">
        <f t="shared" si="9"/>
        <v>3.9285386823524338E-3</v>
      </c>
    </row>
    <row r="40" spans="1:32" x14ac:dyDescent="0.3">
      <c r="A40">
        <f t="shared" si="0"/>
        <v>37</v>
      </c>
      <c r="B40" cm="1">
        <f t="array" ref="B40">IFERROR(_xlfn.AGGREGATE(15,6,ROW('Motivos detalle'!$C$2:$C$274)/('Motivos detalle'!$C$2:$C$274="ENTRA"),A40),"")</f>
        <v>73</v>
      </c>
      <c r="C40" s="16" t="str" cm="1">
        <f t="array" ref="C40">INDEX('Motivos detalle'!$B:$B,$B40)</f>
        <v>XLRE</v>
      </c>
      <c r="D40" s="17" cm="1">
        <f t="array" ref="D40">INDEX('Motivos detalle'!$A:$A,$B40)</f>
        <v>43490</v>
      </c>
      <c r="E40" s="16" cm="1">
        <f t="array" ref="E40">INDEX('Motivos detalle'!$E:$E,$B40)</f>
        <v>2</v>
      </c>
      <c r="F40" s="18" cm="1">
        <f t="array" ref="F40">INDEX('Motivos detalle'!$F:$F,$B40)</f>
        <v>6.9199999999999998E-2</v>
      </c>
      <c r="G40" s="19" cm="1">
        <f t="array" ref="G40">INDEX('Motivos detalle'!$G:$G,$B40)</f>
        <v>25.83</v>
      </c>
      <c r="H40" s="19" cm="1">
        <f t="array" ref="H40">INDEX('Motivos detalle'!$H:$H,$B40)</f>
        <v>25.6</v>
      </c>
      <c r="I40" s="18">
        <f t="shared" si="1"/>
        <v>8.9843749999998224E-3</v>
      </c>
      <c r="J40" s="16" cm="1">
        <f t="array" ref="J40">IFERROR(_xlfn.AGGREGATE(15,6,ROW('Motivos detalle'!$C$2:$C$274)/(('Motivos detalle'!$C$2:$C$274="SALE")*('Motivos detalle'!$B$2:$B$274=C40)*(ROW('Motivos detalle'!$C$2:$C$274)&gt;B40)),1),"")</f>
        <v>87</v>
      </c>
      <c r="K40" s="17" cm="1">
        <f t="array" ref="K40">IF($J40="","",INDEX('Motivos detalle'!$A:$A,$J40))</f>
        <v>43773</v>
      </c>
      <c r="L40" s="19" cm="1">
        <f t="array" ref="L40">IF($J40="","",INDEX('Motivos detalle'!$G:$G,$J40))</f>
        <v>30.87</v>
      </c>
      <c r="M40" s="19" cm="1">
        <f t="array" ref="M40">IF($J40="","",INDEX('Motivos detalle'!$H:$H,$J40))</f>
        <v>30.89</v>
      </c>
      <c r="N40" s="16" t="str" cm="1">
        <f t="array" ref="N40">IF($J40="","Abierto",INDEX('Motivos detalle'!$D:$D,$J40))</f>
        <v>ruptura piso Donchian</v>
      </c>
      <c r="O40" s="16" cm="1">
        <f t="array" ref="O40">IF($J40="","",INDEX('Motivos detalle'!$E:$E,$J40))</f>
        <v>1</v>
      </c>
      <c r="P40">
        <f t="shared" si="2"/>
        <v>283</v>
      </c>
      <c r="Q40" s="14">
        <f t="shared" si="3"/>
        <v>0.19512195121951237</v>
      </c>
      <c r="R40" t="str">
        <f t="shared" si="4"/>
        <v>Ganador</v>
      </c>
      <c r="S40" t="str">
        <f>VLOOKUP(F40,Parametros!$A$25:$B$29,2,TRUE)</f>
        <v>5% a 15%</v>
      </c>
      <c r="T40" s="14">
        <f t="shared" si="5"/>
        <v>-6.4745872450633346E-4</v>
      </c>
      <c r="U40" cm="1">
        <f t="array" ref="U40">IF(J40="","",IFERROR(_xlfn.AGGREGATE(15,6,ROW('Motivos detalle'!$C$2:$C$274)/(('Motivos detalle'!$C$2:$C$274="ENTRA")*('Motivos detalle'!$B$2:$B$274=C40)*(ROW('Motivos detalle'!$C$2:$C$274)&gt;J40)),1),""))</f>
        <v>137</v>
      </c>
      <c r="V40" s="17" cm="1">
        <f t="array" ref="V40">IF(U40="","",INDEX('Motivos detalle'!$A:$A,U40))</f>
        <v>44440</v>
      </c>
      <c r="W40">
        <f t="shared" si="6"/>
        <v>667</v>
      </c>
      <c r="X40" s="19" cm="1">
        <f t="array" ref="X40">IF(U40="","",INDEX('Motivos detalle'!$G:$G,U40))</f>
        <v>41.03</v>
      </c>
      <c r="Y40" t="str">
        <f>IF(W40="","No",IF(W40&lt;Parametros!$B$4,"Sí","No"))</f>
        <v>No</v>
      </c>
      <c r="Z40" s="14" t="str">
        <f t="shared" si="7"/>
        <v/>
      </c>
      <c r="AA40" t="str">
        <f>IF(F40&gt;Parametros!$B$7,"Sí","No")</f>
        <v>Sí</v>
      </c>
      <c r="AB40" s="15">
        <f>VLOOKUP(YEAR(D40),Parametros!$A$11:$B$21,2,FALSE)</f>
        <v>2.1000000000000001E-2</v>
      </c>
      <c r="AC40" t="str">
        <f t="shared" si="8"/>
        <v>Sí</v>
      </c>
      <c r="AD40" t="str">
        <f>IF(N40="ruptura piso Donchian",IF(T40&gt;-Parametros!$B$6,"Sí","No"),"")</f>
        <v>Sí</v>
      </c>
      <c r="AE40" s="15">
        <f>IF(J40="","",(L40*(1-Parametros!$B$32))/(G40*(1+Parametros!$B$32))-1)</f>
        <v>0.19035100530646032</v>
      </c>
      <c r="AF40" s="15">
        <f t="shared" si="9"/>
        <v>4.7709459130520493E-3</v>
      </c>
    </row>
    <row r="41" spans="1:32" x14ac:dyDescent="0.3">
      <c r="A41">
        <f t="shared" si="0"/>
        <v>38</v>
      </c>
      <c r="B41" cm="1">
        <f t="array" ref="B41">IFERROR(_xlfn.AGGREGATE(15,6,ROW('Motivos detalle'!$C$2:$C$274)/('Motivos detalle'!$C$2:$C$274="ENTRA"),A41),"")</f>
        <v>74</v>
      </c>
      <c r="C41" s="16" t="str" cm="1">
        <f t="array" ref="C41">INDEX('Motivos detalle'!$B:$B,$B41)</f>
        <v>XLY</v>
      </c>
      <c r="D41" s="17" cm="1">
        <f t="array" ref="D41">INDEX('Motivos detalle'!$A:$A,$B41)</f>
        <v>43495</v>
      </c>
      <c r="E41" s="16" cm="1">
        <f t="array" ref="E41">INDEX('Motivos detalle'!$E:$E,$B41)</f>
        <v>3</v>
      </c>
      <c r="F41" s="18" cm="1">
        <f t="array" ref="F41">INDEX('Motivos detalle'!$F:$F,$B41)</f>
        <v>4.1999999999999997E-3</v>
      </c>
      <c r="G41" s="19" cm="1">
        <f t="array" ref="G41">INDEX('Motivos detalle'!$G:$G,$B41)</f>
        <v>50.31</v>
      </c>
      <c r="H41" s="19" cm="1">
        <f t="array" ref="H41">INDEX('Motivos detalle'!$H:$H,$B41)</f>
        <v>50.14</v>
      </c>
      <c r="I41" s="18">
        <f t="shared" si="1"/>
        <v>3.390506581571584E-3</v>
      </c>
      <c r="J41" s="16" cm="1">
        <f t="array" ref="J41">IFERROR(_xlfn.AGGREGATE(15,6,ROW('Motivos detalle'!$C$2:$C$274)/(('Motivos detalle'!$C$2:$C$274="SALE")*('Motivos detalle'!$B$2:$B$274=C41)*(ROW('Motivos detalle'!$C$2:$C$274)&gt;B41)),1),"")</f>
        <v>75</v>
      </c>
      <c r="K41" s="17" cm="1">
        <f t="array" ref="K41">IF($J41="","",INDEX('Motivos detalle'!$A:$A,$J41))</f>
        <v>43546</v>
      </c>
      <c r="L41" s="19" cm="1">
        <f t="array" ref="L41">IF($J41="","",INDEX('Motivos detalle'!$G:$G,$J41))</f>
        <v>52.3</v>
      </c>
      <c r="M41" s="19" cm="1">
        <f t="array" ref="M41">IF($J41="","",INDEX('Motivos detalle'!$H:$H,$J41))</f>
        <v>50.25</v>
      </c>
      <c r="N41" s="16" t="str" cm="1">
        <f t="array" ref="N41">IF($J41="","Abierto",INDEX('Motivos detalle'!$D:$D,$J41))</f>
        <v>cae del ranking (&gt;#5)</v>
      </c>
      <c r="O41" s="16" cm="1">
        <f t="array" ref="O41">IF($J41="","",INDEX('Motivos detalle'!$E:$E,$J41))</f>
        <v>6</v>
      </c>
      <c r="P41">
        <f t="shared" si="2"/>
        <v>51</v>
      </c>
      <c r="Q41" s="14">
        <f t="shared" si="3"/>
        <v>3.9554760484992846E-2</v>
      </c>
      <c r="R41" t="str">
        <f t="shared" si="4"/>
        <v>Ganador</v>
      </c>
      <c r="S41" t="str">
        <f>VLOOKUP(F41,Parametros!$A$25:$B$29,2,TRUE)</f>
        <v>0% a 5%</v>
      </c>
      <c r="T41" s="14" t="str">
        <f t="shared" si="5"/>
        <v/>
      </c>
      <c r="U41" cm="1">
        <f t="array" ref="U41">IF(J41="","",IFERROR(_xlfn.AGGREGATE(15,6,ROW('Motivos detalle'!$C$2:$C$274)/(('Motivos detalle'!$C$2:$C$274="ENTRA")*('Motivos detalle'!$B$2:$B$274=C41)*(ROW('Motivos detalle'!$C$2:$C$274)&gt;J41)),1),""))</f>
        <v>78</v>
      </c>
      <c r="V41" s="17" cm="1">
        <f t="array" ref="V41">IF(U41="","",INDEX('Motivos detalle'!$A:$A,U41))</f>
        <v>43571</v>
      </c>
      <c r="W41">
        <f t="shared" si="6"/>
        <v>25</v>
      </c>
      <c r="X41" s="19" cm="1">
        <f t="array" ref="X41">IF(U41="","",INDEX('Motivos detalle'!$G:$G,U41))</f>
        <v>55.77</v>
      </c>
      <c r="Y41" t="str">
        <f>IF(W41="","No",IF(W41&lt;Parametros!$B$4,"Sí","No"))</f>
        <v>No</v>
      </c>
      <c r="Z41" s="14" t="str">
        <f t="shared" si="7"/>
        <v/>
      </c>
      <c r="AA41" t="str">
        <f>IF(F41&gt;Parametros!$B$7,"Sí","No")</f>
        <v>Sí</v>
      </c>
      <c r="AB41" s="15">
        <f>VLOOKUP(YEAR(D41),Parametros!$A$11:$B$21,2,FALSE)</f>
        <v>2.1000000000000001E-2</v>
      </c>
      <c r="AC41" t="str">
        <f t="shared" si="8"/>
        <v>No</v>
      </c>
      <c r="AD41" t="str">
        <f>IF(N41="ruptura piso Donchian",IF(T41&gt;-Parametros!$B$6,"Sí","No"),"")</f>
        <v/>
      </c>
      <c r="AE41" s="15">
        <f>IF(J41="","",(L41*(1-Parametros!$B$32))/(G41*(1+Parametros!$B$32))-1)</f>
        <v>3.5404841281460042E-2</v>
      </c>
      <c r="AF41" s="15">
        <f t="shared" si="9"/>
        <v>4.1499192035328036E-3</v>
      </c>
    </row>
    <row r="42" spans="1:32" x14ac:dyDescent="0.3">
      <c r="A42">
        <f t="shared" si="0"/>
        <v>39</v>
      </c>
      <c r="B42" cm="1">
        <f t="array" ref="B42">IFERROR(_xlfn.AGGREGATE(15,6,ROW('Motivos detalle'!$C$2:$C$274)/('Motivos detalle'!$C$2:$C$274="ENTRA"),A42),"")</f>
        <v>76</v>
      </c>
      <c r="C42" s="16" t="str" cm="1">
        <f t="array" ref="C42">INDEX('Motivos detalle'!$B:$B,$B42)</f>
        <v>XLK</v>
      </c>
      <c r="D42" s="17" cm="1">
        <f t="array" ref="D42">INDEX('Motivos detalle'!$A:$A,$B42)</f>
        <v>43558</v>
      </c>
      <c r="E42" s="16" cm="1">
        <f t="array" ref="E42">INDEX('Motivos detalle'!$E:$E,$B42)</f>
        <v>2</v>
      </c>
      <c r="F42" s="18" cm="1">
        <f t="array" ref="F42">INDEX('Motivos detalle'!$F:$F,$B42)</f>
        <v>0.1938</v>
      </c>
      <c r="G42" s="19" cm="1">
        <f t="array" ref="G42">INDEX('Motivos detalle'!$G:$G,$B42)</f>
        <v>35.590000000000003</v>
      </c>
      <c r="H42" s="19" cm="1">
        <f t="array" ref="H42">INDEX('Motivos detalle'!$H:$H,$B42)</f>
        <v>35.35</v>
      </c>
      <c r="I42" s="18">
        <f t="shared" si="1"/>
        <v>6.7892503536068904E-3</v>
      </c>
      <c r="J42" s="16" cm="1">
        <f t="array" ref="J42">IFERROR(_xlfn.AGGREGATE(15,6,ROW('Motivos detalle'!$C$2:$C$274)/(('Motivos detalle'!$C$2:$C$274="SALE")*('Motivos detalle'!$B$2:$B$274=C42)*(ROW('Motivos detalle'!$C$2:$C$274)&gt;B42)),1),"")</f>
        <v>79</v>
      </c>
      <c r="K42" s="17" cm="1">
        <f t="array" ref="K42">IF($J42="","",INDEX('Motivos detalle'!$A:$A,$J42))</f>
        <v>43595</v>
      </c>
      <c r="L42" s="19" cm="1">
        <f t="array" ref="L42">IF($J42="","",INDEX('Motivos detalle'!$G:$G,$J42))</f>
        <v>35.729999999999997</v>
      </c>
      <c r="M42" s="19" cm="1">
        <f t="array" ref="M42">IF($J42="","",INDEX('Motivos detalle'!$H:$H,$J42))</f>
        <v>35.020000000000003</v>
      </c>
      <c r="N42" s="16" t="str" cm="1">
        <f t="array" ref="N42">IF($J42="","Abierto",INDEX('Motivos detalle'!$D:$D,$J42))</f>
        <v>cae del ranking (&gt;#5)</v>
      </c>
      <c r="O42" s="16" cm="1">
        <f t="array" ref="O42">IF($J42="","",INDEX('Motivos detalle'!$E:$E,$J42))</f>
        <v>6</v>
      </c>
      <c r="P42">
        <f t="shared" si="2"/>
        <v>37</v>
      </c>
      <c r="Q42" s="14">
        <f t="shared" si="3"/>
        <v>3.9336892385499755E-3</v>
      </c>
      <c r="R42" t="str">
        <f t="shared" si="4"/>
        <v>Ganador</v>
      </c>
      <c r="S42" t="str">
        <f>VLOOKUP(F42,Parametros!$A$25:$B$29,2,TRUE)</f>
        <v>15% a 30%</v>
      </c>
      <c r="T42" s="14" t="str">
        <f t="shared" si="5"/>
        <v/>
      </c>
      <c r="U42" cm="1">
        <f t="array" ref="U42">IF(J42="","",IFERROR(_xlfn.AGGREGATE(15,6,ROW('Motivos detalle'!$C$2:$C$274)/(('Motivos detalle'!$C$2:$C$274="ENTRA")*('Motivos detalle'!$B$2:$B$274=C42)*(ROW('Motivos detalle'!$C$2:$C$274)&gt;J42)),1),""))</f>
        <v>86</v>
      </c>
      <c r="V42" s="17" cm="1">
        <f t="array" ref="V42">IF(U42="","",INDEX('Motivos detalle'!$A:$A,U42))</f>
        <v>43763</v>
      </c>
      <c r="W42">
        <f t="shared" si="6"/>
        <v>168</v>
      </c>
      <c r="X42" s="19" cm="1">
        <f t="array" ref="X42">IF(U42="","",INDEX('Motivos detalle'!$G:$G,U42))</f>
        <v>39.15</v>
      </c>
      <c r="Y42" t="str">
        <f>IF(W42="","No",IF(W42&lt;Parametros!$B$4,"Sí","No"))</f>
        <v>No</v>
      </c>
      <c r="Z42" s="14" t="str">
        <f t="shared" si="7"/>
        <v/>
      </c>
      <c r="AA42" t="str">
        <f>IF(F42&gt;Parametros!$B$7,"Sí","No")</f>
        <v>Sí</v>
      </c>
      <c r="AB42" s="15">
        <f>VLOOKUP(YEAR(D42),Parametros!$A$11:$B$21,2,FALSE)</f>
        <v>2.1000000000000001E-2</v>
      </c>
      <c r="AC42" t="str">
        <f t="shared" si="8"/>
        <v>Sí</v>
      </c>
      <c r="AD42" t="str">
        <f>IF(N42="ruptura piso Donchian",IF(T42&gt;-Parametros!$B$6,"Sí","No"),"")</f>
        <v/>
      </c>
      <c r="AE42" s="15">
        <f>IF(J42="","",(L42*(1-Parametros!$B$32))/(G42*(1+Parametros!$B$32))-1)</f>
        <v>-7.4030079767584134E-5</v>
      </c>
      <c r="AF42" s="15">
        <f t="shared" si="9"/>
        <v>4.0077193183175597E-3</v>
      </c>
    </row>
    <row r="43" spans="1:32" x14ac:dyDescent="0.3">
      <c r="A43">
        <f t="shared" si="0"/>
        <v>40</v>
      </c>
      <c r="B43" cm="1">
        <f t="array" ref="B43">IFERROR(_xlfn.AGGREGATE(15,6,ROW('Motivos detalle'!$C$2:$C$274)/('Motivos detalle'!$C$2:$C$274="ENTRA"),A43),"")</f>
        <v>78</v>
      </c>
      <c r="C43" s="16" t="str" cm="1">
        <f t="array" ref="C43">INDEX('Motivos detalle'!$B:$B,$B43)</f>
        <v>XLY</v>
      </c>
      <c r="D43" s="17" cm="1">
        <f t="array" ref="D43">INDEX('Motivos detalle'!$A:$A,$B43)</f>
        <v>43571</v>
      </c>
      <c r="E43" s="16" cm="1">
        <f t="array" ref="E43">INDEX('Motivos detalle'!$E:$E,$B43)</f>
        <v>2</v>
      </c>
      <c r="F43" s="18" cm="1">
        <f t="array" ref="F43">INDEX('Motivos detalle'!$F:$F,$B43)</f>
        <v>0.18290000000000001</v>
      </c>
      <c r="G43" s="19" cm="1">
        <f t="array" ref="G43">INDEX('Motivos detalle'!$G:$G,$B43)</f>
        <v>55.77</v>
      </c>
      <c r="H43" s="19" cm="1">
        <f t="array" ref="H43">INDEX('Motivos detalle'!$H:$H,$B43)</f>
        <v>55.55</v>
      </c>
      <c r="I43" s="18">
        <f t="shared" si="1"/>
        <v>3.9603960396039639E-3</v>
      </c>
      <c r="J43" s="16" cm="1">
        <f t="array" ref="J43">IFERROR(_xlfn.AGGREGATE(15,6,ROW('Motivos detalle'!$C$2:$C$274)/(('Motivos detalle'!$C$2:$C$274="SALE")*('Motivos detalle'!$B$2:$B$274=C43)*(ROW('Motivos detalle'!$C$2:$C$274)&gt;B43)),1),"")</f>
        <v>80</v>
      </c>
      <c r="K43" s="17" cm="1">
        <f t="array" ref="K43">IF($J43="","",INDEX('Motivos detalle'!$A:$A,$J43))</f>
        <v>43598</v>
      </c>
      <c r="L43" s="19" cm="1">
        <f t="array" ref="L43">IF($J43="","",INDEX('Motivos detalle'!$G:$G,$J43))</f>
        <v>53.3</v>
      </c>
      <c r="M43" s="19" cm="1">
        <f t="array" ref="M43">IF($J43="","",INDEX('Motivos detalle'!$H:$H,$J43))</f>
        <v>53.91</v>
      </c>
      <c r="N43" s="16" t="str" cm="1">
        <f t="array" ref="N43">IF($J43="","Abierto",INDEX('Motivos detalle'!$D:$D,$J43))</f>
        <v>ruptura piso Donchian</v>
      </c>
      <c r="O43" s="16" cm="1">
        <f t="array" ref="O43">IF($J43="","",INDEX('Motivos detalle'!$E:$E,$J43))</f>
        <v>4</v>
      </c>
      <c r="P43">
        <f t="shared" si="2"/>
        <v>27</v>
      </c>
      <c r="Q43" s="14">
        <f t="shared" si="3"/>
        <v>-4.4289044289044344E-2</v>
      </c>
      <c r="R43" t="str">
        <f t="shared" si="4"/>
        <v>Perdedor</v>
      </c>
      <c r="S43" t="str">
        <f>VLOOKUP(F43,Parametros!$A$25:$B$29,2,TRUE)</f>
        <v>15% a 30%</v>
      </c>
      <c r="T43" s="14">
        <f t="shared" si="5"/>
        <v>-1.1315154887775902E-2</v>
      </c>
      <c r="U43" cm="1">
        <f t="array" ref="U43">IF(J43="","",IFERROR(_xlfn.AGGREGATE(15,6,ROW('Motivos detalle'!$C$2:$C$274)/(('Motivos detalle'!$C$2:$C$274="ENTRA")*('Motivos detalle'!$B$2:$B$274=C43)*(ROW('Motivos detalle'!$C$2:$C$274)&gt;J43)),1),""))</f>
        <v>108</v>
      </c>
      <c r="V43" s="17" cm="1">
        <f t="array" ref="V43">IF(U43="","",INDEX('Motivos detalle'!$A:$A,U43))</f>
        <v>44112</v>
      </c>
      <c r="W43">
        <f t="shared" si="6"/>
        <v>514</v>
      </c>
      <c r="X43" s="19" cm="1">
        <f t="array" ref="X43">IF(U43="","",INDEX('Motivos detalle'!$G:$G,U43))</f>
        <v>72.489999999999995</v>
      </c>
      <c r="Y43" t="str">
        <f>IF(W43="","No",IF(W43&lt;Parametros!$B$4,"Sí","No"))</f>
        <v>No</v>
      </c>
      <c r="Z43" s="14" t="str">
        <f t="shared" si="7"/>
        <v/>
      </c>
      <c r="AA43" t="str">
        <f>IF(F43&gt;Parametros!$B$7,"Sí","No")</f>
        <v>Sí</v>
      </c>
      <c r="AB43" s="15">
        <f>VLOOKUP(YEAR(D43),Parametros!$A$11:$B$21,2,FALSE)</f>
        <v>2.1000000000000001E-2</v>
      </c>
      <c r="AC43" t="str">
        <f t="shared" si="8"/>
        <v>Sí</v>
      </c>
      <c r="AD43" t="str">
        <f>IF(N43="ruptura piso Donchian",IF(T43&gt;-Parametros!$B$6,"Sí","No"),"")</f>
        <v>No</v>
      </c>
      <c r="AE43" s="15">
        <f>IF(J43="","",(L43*(1-Parametros!$B$32))/(G43*(1+Parametros!$B$32))-1)</f>
        <v>-4.8104257685096075E-2</v>
      </c>
      <c r="AF43" s="15">
        <f t="shared" si="9"/>
        <v>3.8152133960517309E-3</v>
      </c>
    </row>
    <row r="44" spans="1:32" x14ac:dyDescent="0.3">
      <c r="A44">
        <f t="shared" si="0"/>
        <v>41</v>
      </c>
      <c r="B44" cm="1">
        <f t="array" ref="B44">IFERROR(_xlfn.AGGREGATE(15,6,ROW('Motivos detalle'!$C$2:$C$274)/('Motivos detalle'!$C$2:$C$274="ENTRA"),A44),"")</f>
        <v>81</v>
      </c>
      <c r="C44" s="16" t="str" cm="1">
        <f t="array" ref="C44">INDEX('Motivos detalle'!$B:$B,$B44)</f>
        <v>XLU</v>
      </c>
      <c r="D44" s="17" cm="1">
        <f t="array" ref="D44">INDEX('Motivos detalle'!$A:$A,$B44)</f>
        <v>43608</v>
      </c>
      <c r="E44" s="16" cm="1">
        <f t="array" ref="E44">INDEX('Motivos detalle'!$E:$E,$B44)</f>
        <v>1</v>
      </c>
      <c r="F44" s="18" cm="1">
        <f t="array" ref="F44">INDEX('Motivos detalle'!$F:$F,$B44)</f>
        <v>0.254</v>
      </c>
      <c r="G44" s="19" cm="1">
        <f t="array" ref="G44">INDEX('Motivos detalle'!$G:$G,$B44)</f>
        <v>23.94</v>
      </c>
      <c r="H44" s="19" cm="1">
        <f t="array" ref="H44">INDEX('Motivos detalle'!$H:$H,$B44)</f>
        <v>23.76</v>
      </c>
      <c r="I44" s="18">
        <f t="shared" si="1"/>
        <v>7.575757575757569E-3</v>
      </c>
      <c r="J44" s="16" cm="1">
        <f t="array" ref="J44">IFERROR(_xlfn.AGGREGATE(15,6,ROW('Motivos detalle'!$C$2:$C$274)/(('Motivos detalle'!$C$2:$C$274="SALE")*('Motivos detalle'!$B$2:$B$274=C44)*(ROW('Motivos detalle'!$C$2:$C$274)&gt;B44)),1),"")</f>
        <v>88</v>
      </c>
      <c r="K44" s="17" cm="1">
        <f t="array" ref="K44">IF($J44="","",INDEX('Motivos detalle'!$A:$A,$J44))</f>
        <v>43774</v>
      </c>
      <c r="L44" s="19" cm="1">
        <f t="array" ref="L44">IF($J44="","",INDEX('Motivos detalle'!$G:$G,$J44))</f>
        <v>25.41</v>
      </c>
      <c r="M44" s="19" cm="1">
        <f t="array" ref="M44">IF($J44="","",INDEX('Motivos detalle'!$H:$H,$J44))</f>
        <v>25.56</v>
      </c>
      <c r="N44" s="16" t="str" cm="1">
        <f t="array" ref="N44">IF($J44="","Abierto",INDEX('Motivos detalle'!$D:$D,$J44))</f>
        <v>ruptura piso Donchian</v>
      </c>
      <c r="O44" s="16" cm="1">
        <f t="array" ref="O44">IF($J44="","",INDEX('Motivos detalle'!$E:$E,$J44))</f>
        <v>3</v>
      </c>
      <c r="P44">
        <f t="shared" si="2"/>
        <v>166</v>
      </c>
      <c r="Q44" s="14">
        <f t="shared" si="3"/>
        <v>6.1403508771929793E-2</v>
      </c>
      <c r="R44" t="str">
        <f t="shared" si="4"/>
        <v>Ganador</v>
      </c>
      <c r="S44" t="str">
        <f>VLOOKUP(F44,Parametros!$A$25:$B$29,2,TRUE)</f>
        <v>15% a 30%</v>
      </c>
      <c r="T44" s="14">
        <f t="shared" si="5"/>
        <v>-5.8685446009388853E-3</v>
      </c>
      <c r="U44" cm="1">
        <f t="array" ref="U44">IF(J44="","",IFERROR(_xlfn.AGGREGATE(15,6,ROW('Motivos detalle'!$C$2:$C$274)/(('Motivos detalle'!$C$2:$C$274="ENTRA")*('Motivos detalle'!$B$2:$B$274=C44)*(ROW('Motivos detalle'!$C$2:$C$274)&gt;J44)),1),""))</f>
        <v>92</v>
      </c>
      <c r="V44" s="17" cm="1">
        <f t="array" ref="V44">IF(U44="","",INDEX('Motivos detalle'!$A:$A,U44))</f>
        <v>43845</v>
      </c>
      <c r="W44">
        <f t="shared" si="6"/>
        <v>71</v>
      </c>
      <c r="X44" s="19" cm="1">
        <f t="array" ref="X44">IF(U44="","",INDEX('Motivos detalle'!$G:$G,U44))</f>
        <v>26.95</v>
      </c>
      <c r="Y44" t="str">
        <f>IF(W44="","No",IF(W44&lt;Parametros!$B$4,"Sí","No"))</f>
        <v>No</v>
      </c>
      <c r="Z44" s="14" t="str">
        <f t="shared" si="7"/>
        <v/>
      </c>
      <c r="AA44" t="str">
        <f>IF(F44&gt;Parametros!$B$7,"Sí","No")</f>
        <v>Sí</v>
      </c>
      <c r="AB44" s="15">
        <f>VLOOKUP(YEAR(D44),Parametros!$A$11:$B$21,2,FALSE)</f>
        <v>2.1000000000000001E-2</v>
      </c>
      <c r="AC44" t="str">
        <f t="shared" si="8"/>
        <v>Sí</v>
      </c>
      <c r="AD44" t="str">
        <f>IF(N44="ruptura piso Donchian",IF(T44&gt;-Parametros!$B$6,"Sí","No"),"")</f>
        <v>No</v>
      </c>
      <c r="AE44" s="15">
        <f>IF(J44="","",(L44*(1-Parametros!$B$32))/(G44*(1+Parametros!$B$32))-1)</f>
        <v>5.716636901635308E-2</v>
      </c>
      <c r="AF44" s="15">
        <f t="shared" si="9"/>
        <v>4.2371397555767132E-3</v>
      </c>
    </row>
    <row r="45" spans="1:32" x14ac:dyDescent="0.3">
      <c r="A45">
        <f t="shared" si="0"/>
        <v>42</v>
      </c>
      <c r="B45" cm="1">
        <f t="array" ref="B45">IFERROR(_xlfn.AGGREGATE(15,6,ROW('Motivos detalle'!$C$2:$C$274)/('Motivos detalle'!$C$2:$C$274="ENTRA"),A45),"")</f>
        <v>82</v>
      </c>
      <c r="C45" s="16" t="str" cm="1">
        <f t="array" ref="C45">INDEX('Motivos detalle'!$B:$B,$B45)</f>
        <v>XLP</v>
      </c>
      <c r="D45" s="17" cm="1">
        <f t="array" ref="D45">INDEX('Motivos detalle'!$A:$A,$B45)</f>
        <v>43623</v>
      </c>
      <c r="E45" s="16" cm="1">
        <f t="array" ref="E45">INDEX('Motivos detalle'!$E:$E,$B45)</f>
        <v>3</v>
      </c>
      <c r="F45" s="18" cm="1">
        <f t="array" ref="F45">INDEX('Motivos detalle'!$F:$F,$B45)</f>
        <v>0.2099</v>
      </c>
      <c r="G45" s="19" cm="1">
        <f t="array" ref="G45">INDEX('Motivos detalle'!$G:$G,$B45)</f>
        <v>48.32</v>
      </c>
      <c r="H45" s="19" cm="1">
        <f t="array" ref="H45">INDEX('Motivos detalle'!$H:$H,$B45)</f>
        <v>48.03</v>
      </c>
      <c r="I45" s="18">
        <f t="shared" si="1"/>
        <v>6.0378929835518402E-3</v>
      </c>
      <c r="J45" s="16" cm="1">
        <f t="array" ref="J45">IFERROR(_xlfn.AGGREGATE(15,6,ROW('Motivos detalle'!$C$2:$C$274)/(('Motivos detalle'!$C$2:$C$274="SALE")*('Motivos detalle'!$B$2:$B$274=C45)*(ROW('Motivos detalle'!$C$2:$C$274)&gt;B45)),1),"")</f>
        <v>83</v>
      </c>
      <c r="K45" s="17" cm="1">
        <f t="array" ref="K45">IF($J45="","",INDEX('Motivos detalle'!$A:$A,$J45))</f>
        <v>43682</v>
      </c>
      <c r="L45" s="19" cm="1">
        <f t="array" ref="L45">IF($J45="","",INDEX('Motivos detalle'!$G:$G,$J45))</f>
        <v>47.91</v>
      </c>
      <c r="M45" s="19" cm="1">
        <f t="array" ref="M45">IF($J45="","",INDEX('Motivos detalle'!$H:$H,$J45))</f>
        <v>48.88</v>
      </c>
      <c r="N45" s="16" t="str" cm="1">
        <f t="array" ref="N45">IF($J45="","Abierto",INDEX('Motivos detalle'!$D:$D,$J45))</f>
        <v>ruptura piso Donchian</v>
      </c>
      <c r="O45" s="16" cm="1">
        <f t="array" ref="O45">IF($J45="","",INDEX('Motivos detalle'!$E:$E,$J45))</f>
        <v>3</v>
      </c>
      <c r="P45">
        <f t="shared" si="2"/>
        <v>59</v>
      </c>
      <c r="Q45" s="14">
        <f t="shared" si="3"/>
        <v>-8.4850993377484363E-3</v>
      </c>
      <c r="R45" t="str">
        <f t="shared" si="4"/>
        <v>Perdedor</v>
      </c>
      <c r="S45" t="str">
        <f>VLOOKUP(F45,Parametros!$A$25:$B$29,2,TRUE)</f>
        <v>15% a 30%</v>
      </c>
      <c r="T45" s="14">
        <f t="shared" si="5"/>
        <v>-1.9844517184942845E-2</v>
      </c>
      <c r="U45" cm="1">
        <f t="array" ref="U45">IF(J45="","",IFERROR(_xlfn.AGGREGATE(15,6,ROW('Motivos detalle'!$C$2:$C$274)/(('Motivos detalle'!$C$2:$C$274="ENTRA")*('Motivos detalle'!$B$2:$B$274=C45)*(ROW('Motivos detalle'!$C$2:$C$274)&gt;J45)),1),""))</f>
        <v>84</v>
      </c>
      <c r="V45" s="17" cm="1">
        <f t="array" ref="V45">IF(U45="","",INDEX('Motivos detalle'!$A:$A,U45))</f>
        <v>43712</v>
      </c>
      <c r="W45">
        <f t="shared" si="6"/>
        <v>30</v>
      </c>
      <c r="X45" s="19" cm="1">
        <f t="array" ref="X45">IF(U45="","",INDEX('Motivos detalle'!$G:$G,U45))</f>
        <v>51.18</v>
      </c>
      <c r="Y45" t="str">
        <f>IF(W45="","No",IF(W45&lt;Parametros!$B$4,"Sí","No"))</f>
        <v>No</v>
      </c>
      <c r="Z45" s="14" t="str">
        <f t="shared" si="7"/>
        <v/>
      </c>
      <c r="AA45" t="str">
        <f>IF(F45&gt;Parametros!$B$7,"Sí","No")</f>
        <v>Sí</v>
      </c>
      <c r="AB45" s="15">
        <f>VLOOKUP(YEAR(D45),Parametros!$A$11:$B$21,2,FALSE)</f>
        <v>2.1000000000000001E-2</v>
      </c>
      <c r="AC45" t="str">
        <f t="shared" si="8"/>
        <v>Sí</v>
      </c>
      <c r="AD45" t="str">
        <f>IF(N45="ruptura piso Donchian",IF(T45&gt;-Parametros!$B$6,"Sí","No"),"")</f>
        <v>No</v>
      </c>
      <c r="AE45" s="15">
        <f>IF(J45="","",(L45*(1-Parametros!$B$32))/(G45*(1+Parametros!$B$32))-1)</f>
        <v>-1.2443242653765507E-2</v>
      </c>
      <c r="AF45" s="15">
        <f t="shared" si="9"/>
        <v>3.9581433160170709E-3</v>
      </c>
    </row>
    <row r="46" spans="1:32" x14ac:dyDescent="0.3">
      <c r="A46">
        <f t="shared" si="0"/>
        <v>43</v>
      </c>
      <c r="B46" cm="1">
        <f t="array" ref="B46">IFERROR(_xlfn.AGGREGATE(15,6,ROW('Motivos detalle'!$C$2:$C$274)/('Motivos detalle'!$C$2:$C$274="ENTRA"),A46),"")</f>
        <v>84</v>
      </c>
      <c r="C46" s="16" t="str" cm="1">
        <f t="array" ref="C46">INDEX('Motivos detalle'!$B:$B,$B46)</f>
        <v>XLP</v>
      </c>
      <c r="D46" s="17" cm="1">
        <f t="array" ref="D46">INDEX('Motivos detalle'!$A:$A,$B46)</f>
        <v>43712</v>
      </c>
      <c r="E46" s="16" cm="1">
        <f t="array" ref="E46">INDEX('Motivos detalle'!$E:$E,$B46)</f>
        <v>3</v>
      </c>
      <c r="F46" s="18" cm="1">
        <f t="array" ref="F46">INDEX('Motivos detalle'!$F:$F,$B46)</f>
        <v>0.1797</v>
      </c>
      <c r="G46" s="19" cm="1">
        <f t="array" ref="G46">INDEX('Motivos detalle'!$G:$G,$B46)</f>
        <v>51.18</v>
      </c>
      <c r="H46" s="19" cm="1">
        <f t="array" ref="H46">INDEX('Motivos detalle'!$H:$H,$B46)</f>
        <v>50.79</v>
      </c>
      <c r="I46" s="18">
        <f t="shared" si="1"/>
        <v>7.6786769049026482E-3</v>
      </c>
      <c r="J46" s="16" cm="1">
        <f t="array" ref="J46">IFERROR(_xlfn.AGGREGATE(15,6,ROW('Motivos detalle'!$C$2:$C$274)/(('Motivos detalle'!$C$2:$C$274="SALE")*('Motivos detalle'!$B$2:$B$274=C46)*(ROW('Motivos detalle'!$C$2:$C$274)&gt;B46)),1),"")</f>
        <v>85</v>
      </c>
      <c r="K46" s="17" cm="1">
        <f t="array" ref="K46">IF($J46="","",INDEX('Motivos detalle'!$A:$A,$J46))</f>
        <v>43763</v>
      </c>
      <c r="L46" s="19" cm="1">
        <f t="array" ref="L46">IF($J46="","",INDEX('Motivos detalle'!$G:$G,$J46))</f>
        <v>51.04</v>
      </c>
      <c r="M46" s="19" cm="1">
        <f t="array" ref="M46">IF($J46="","",INDEX('Motivos detalle'!$H:$H,$J46))</f>
        <v>49.95</v>
      </c>
      <c r="N46" s="16" t="str" cm="1">
        <f t="array" ref="N46">IF($J46="","Abierto",INDEX('Motivos detalle'!$D:$D,$J46))</f>
        <v>cae del ranking (&gt;#5)</v>
      </c>
      <c r="O46" s="16" cm="1">
        <f t="array" ref="O46">IF($J46="","",INDEX('Motivos detalle'!$E:$E,$J46))</f>
        <v>8</v>
      </c>
      <c r="P46">
        <f t="shared" si="2"/>
        <v>51</v>
      </c>
      <c r="Q46" s="14">
        <f t="shared" si="3"/>
        <v>-2.7354435326299997E-3</v>
      </c>
      <c r="R46" t="str">
        <f t="shared" si="4"/>
        <v>Perdedor</v>
      </c>
      <c r="S46" t="str">
        <f>VLOOKUP(F46,Parametros!$A$25:$B$29,2,TRUE)</f>
        <v>15% a 30%</v>
      </c>
      <c r="T46" s="14" t="str">
        <f t="shared" si="5"/>
        <v/>
      </c>
      <c r="U46" cm="1">
        <f t="array" ref="U46">IF(J46="","",IFERROR(_xlfn.AGGREGATE(15,6,ROW('Motivos detalle'!$C$2:$C$274)/(('Motivos detalle'!$C$2:$C$274="ENTRA")*('Motivos detalle'!$B$2:$B$274=C46)*(ROW('Motivos detalle'!$C$2:$C$274)&gt;J46)),1),""))</f>
        <v>167</v>
      </c>
      <c r="V46" s="17" cm="1">
        <f t="array" ref="V46">IF(U46="","",INDEX('Motivos detalle'!$A:$A,U46))</f>
        <v>44770</v>
      </c>
      <c r="W46">
        <f t="shared" si="6"/>
        <v>1007</v>
      </c>
      <c r="X46" s="19" cm="1">
        <f t="array" ref="X46">IF(U46="","",INDEX('Motivos detalle'!$G:$G,U46))</f>
        <v>67.45</v>
      </c>
      <c r="Y46" t="str">
        <f>IF(W46="","No",IF(W46&lt;Parametros!$B$4,"Sí","No"))</f>
        <v>No</v>
      </c>
      <c r="Z46" s="14" t="str">
        <f t="shared" si="7"/>
        <v/>
      </c>
      <c r="AA46" t="str">
        <f>IF(F46&gt;Parametros!$B$7,"Sí","No")</f>
        <v>Sí</v>
      </c>
      <c r="AB46" s="15">
        <f>VLOOKUP(YEAR(D46),Parametros!$A$11:$B$21,2,FALSE)</f>
        <v>2.1000000000000001E-2</v>
      </c>
      <c r="AC46" t="str">
        <f t="shared" si="8"/>
        <v>Sí</v>
      </c>
      <c r="AD46" t="str">
        <f>IF(N46="ruptura piso Donchian",IF(T46&gt;-Parametros!$B$6,"Sí","No"),"")</f>
        <v/>
      </c>
      <c r="AE46" s="15">
        <f>IF(J46="","",(L46*(1-Parametros!$B$32))/(G46*(1+Parametros!$B$32))-1)</f>
        <v>-6.7165395664318117E-3</v>
      </c>
      <c r="AF46" s="15">
        <f t="shared" si="9"/>
        <v>3.981096033801812E-3</v>
      </c>
    </row>
    <row r="47" spans="1:32" x14ac:dyDescent="0.3">
      <c r="A47">
        <f t="shared" si="0"/>
        <v>44</v>
      </c>
      <c r="B47" cm="1">
        <f t="array" ref="B47">IFERROR(_xlfn.AGGREGATE(15,6,ROW('Motivos detalle'!$C$2:$C$274)/('Motivos detalle'!$C$2:$C$274="ENTRA"),A47),"")</f>
        <v>86</v>
      </c>
      <c r="C47" s="16" t="str" cm="1">
        <f t="array" ref="C47">INDEX('Motivos detalle'!$B:$B,$B47)</f>
        <v>XLK</v>
      </c>
      <c r="D47" s="17" cm="1">
        <f t="array" ref="D47">INDEX('Motivos detalle'!$A:$A,$B47)</f>
        <v>43763</v>
      </c>
      <c r="E47" s="16" cm="1">
        <f t="array" ref="E47">INDEX('Motivos detalle'!$E:$E,$B47)</f>
        <v>2</v>
      </c>
      <c r="F47" s="18" cm="1">
        <f t="array" ref="F47">INDEX('Motivos detalle'!$F:$F,$B47)</f>
        <v>0.25209999999999999</v>
      </c>
      <c r="G47" s="19" cm="1">
        <f t="array" ref="G47">INDEX('Motivos detalle'!$G:$G,$B47)</f>
        <v>39.15</v>
      </c>
      <c r="H47" s="19" cm="1">
        <f t="array" ref="H47">INDEX('Motivos detalle'!$H:$H,$B47)</f>
        <v>39.01</v>
      </c>
      <c r="I47" s="18">
        <f t="shared" si="1"/>
        <v>3.5888233786209867E-3</v>
      </c>
      <c r="J47" s="16" cm="1">
        <f t="array" ref="J47">IFERROR(_xlfn.AGGREGATE(15,6,ROW('Motivos detalle'!$C$2:$C$274)/(('Motivos detalle'!$C$2:$C$274="SALE")*('Motivos detalle'!$B$2:$B$274=C47)*(ROW('Motivos detalle'!$C$2:$C$274)&gt;B47)),1),"")</f>
        <v>95</v>
      </c>
      <c r="K47" s="17" cm="1">
        <f t="array" ref="K47">IF($J47="","",INDEX('Motivos detalle'!$A:$A,$J47))</f>
        <v>43886</v>
      </c>
      <c r="L47" s="19" cm="1">
        <f t="array" ref="L47">IF($J47="","",INDEX('Motivos detalle'!$G:$G,$J47))</f>
        <v>43.72</v>
      </c>
      <c r="M47" s="19" cm="1">
        <f t="array" ref="M47">IF($J47="","",INDEX('Motivos detalle'!$H:$H,$J47))</f>
        <v>44.44</v>
      </c>
      <c r="N47" s="16" t="str" cm="1">
        <f t="array" ref="N47">IF($J47="","Abierto",INDEX('Motivos detalle'!$D:$D,$J47))</f>
        <v>ruptura piso Donchian</v>
      </c>
      <c r="O47" s="16" cm="1">
        <f t="array" ref="O47">IF($J47="","",INDEX('Motivos detalle'!$E:$E,$J47))</f>
        <v>1</v>
      </c>
      <c r="P47">
        <f t="shared" si="2"/>
        <v>123</v>
      </c>
      <c r="Q47" s="14">
        <f t="shared" si="3"/>
        <v>0.11673052362707526</v>
      </c>
      <c r="R47" t="str">
        <f t="shared" si="4"/>
        <v>Ganador</v>
      </c>
      <c r="S47" t="str">
        <f>VLOOKUP(F47,Parametros!$A$25:$B$29,2,TRUE)</f>
        <v>15% a 30%</v>
      </c>
      <c r="T47" s="14">
        <f t="shared" si="5"/>
        <v>-1.6201620162016206E-2</v>
      </c>
      <c r="U47" cm="1">
        <f t="array" ref="U47">IF(J47="","",IFERROR(_xlfn.AGGREGATE(15,6,ROW('Motivos detalle'!$C$2:$C$274)/(('Motivos detalle'!$C$2:$C$274="ENTRA")*('Motivos detalle'!$B$2:$B$274=C47)*(ROW('Motivos detalle'!$C$2:$C$274)&gt;J47)),1),""))</f>
        <v>100</v>
      </c>
      <c r="V47" s="17" cm="1">
        <f t="array" ref="V47">IF(U47="","",INDEX('Motivos detalle'!$A:$A,U47))</f>
        <v>43935</v>
      </c>
      <c r="W47">
        <f t="shared" si="6"/>
        <v>49</v>
      </c>
      <c r="X47" s="19" cm="1">
        <f t="array" ref="X47">IF(U47="","",INDEX('Motivos detalle'!$G:$G,U47))</f>
        <v>42.37</v>
      </c>
      <c r="Y47" t="str">
        <f>IF(W47="","No",IF(W47&lt;Parametros!$B$4,"Sí","No"))</f>
        <v>No</v>
      </c>
      <c r="Z47" s="14" t="str">
        <f t="shared" si="7"/>
        <v/>
      </c>
      <c r="AA47" t="str">
        <f>IF(F47&gt;Parametros!$B$7,"Sí","No")</f>
        <v>Sí</v>
      </c>
      <c r="AB47" s="15">
        <f>VLOOKUP(YEAR(D47),Parametros!$A$11:$B$21,2,FALSE)</f>
        <v>2.1000000000000001E-2</v>
      </c>
      <c r="AC47" t="str">
        <f t="shared" si="8"/>
        <v>Sí</v>
      </c>
      <c r="AD47" t="str">
        <f>IF(N47="ruptura piso Donchian",IF(T47&gt;-Parametros!$B$6,"Sí","No"),"")</f>
        <v>No</v>
      </c>
      <c r="AE47" s="15">
        <f>IF(J47="","",(L47*(1-Parametros!$B$32))/(G47*(1+Parametros!$B$32))-1)</f>
        <v>0.11227251754473166</v>
      </c>
      <c r="AF47" s="15">
        <f t="shared" si="9"/>
        <v>4.4580060823435907E-3</v>
      </c>
    </row>
    <row r="48" spans="1:32" x14ac:dyDescent="0.3">
      <c r="A48">
        <f t="shared" si="0"/>
        <v>45</v>
      </c>
      <c r="B48" cm="1">
        <f t="array" ref="B48">IFERROR(_xlfn.AGGREGATE(15,6,ROW('Motivos detalle'!$C$2:$C$274)/('Motivos detalle'!$C$2:$C$274="ENTRA"),A48),"")</f>
        <v>89</v>
      </c>
      <c r="C48" s="16" t="str" cm="1">
        <f t="array" ref="C48">INDEX('Motivos detalle'!$B:$B,$B48)</f>
        <v>XLC</v>
      </c>
      <c r="D48" s="17" cm="1">
        <f t="array" ref="D48">INDEX('Motivos detalle'!$A:$A,$B48)</f>
        <v>43796</v>
      </c>
      <c r="E48" s="16" cm="1">
        <f t="array" ref="E48">INDEX('Motivos detalle'!$E:$E,$B48)</f>
        <v>2</v>
      </c>
      <c r="F48" s="18" cm="1">
        <f t="array" ref="F48">INDEX('Motivos detalle'!$F:$F,$B48)</f>
        <v>0.21010000000000001</v>
      </c>
      <c r="G48" s="19" cm="1">
        <f t="array" ref="G48">INDEX('Motivos detalle'!$G:$G,$B48)</f>
        <v>49.39</v>
      </c>
      <c r="H48" s="19" cm="1">
        <f t="array" ref="H48">INDEX('Motivos detalle'!$H:$H,$B48)</f>
        <v>49.06</v>
      </c>
      <c r="I48" s="18">
        <f t="shared" si="1"/>
        <v>6.7264573991030474E-3</v>
      </c>
      <c r="J48" s="16" cm="1">
        <f t="array" ref="J48">IFERROR(_xlfn.AGGREGATE(15,6,ROW('Motivos detalle'!$C$2:$C$274)/(('Motivos detalle'!$C$2:$C$274="SALE")*('Motivos detalle'!$B$2:$B$274=C48)*(ROW('Motivos detalle'!$C$2:$C$274)&gt;B48)),1),"")</f>
        <v>93</v>
      </c>
      <c r="K48" s="17" cm="1">
        <f t="array" ref="K48">IF($J48="","",INDEX('Motivos detalle'!$A:$A,$J48))</f>
        <v>43866</v>
      </c>
      <c r="L48" s="19" cm="1">
        <f t="array" ref="L48">IF($J48="","",INDEX('Motivos detalle'!$G:$G,$J48))</f>
        <v>51.81</v>
      </c>
      <c r="M48" s="19" cm="1">
        <f t="array" ref="M48">IF($J48="","",INDEX('Motivos detalle'!$H:$H,$J48))</f>
        <v>50.48</v>
      </c>
      <c r="N48" s="16" t="str" cm="1">
        <f t="array" ref="N48">IF($J48="","Abierto",INDEX('Motivos detalle'!$D:$D,$J48))</f>
        <v>cae del ranking (&gt;#5)</v>
      </c>
      <c r="O48" s="16" cm="1">
        <f t="array" ref="O48">IF($J48="","",INDEX('Motivos detalle'!$E:$E,$J48))</f>
        <v>6</v>
      </c>
      <c r="P48">
        <f t="shared" si="2"/>
        <v>70</v>
      </c>
      <c r="Q48" s="14">
        <f t="shared" si="3"/>
        <v>4.8997772828507813E-2</v>
      </c>
      <c r="R48" t="str">
        <f t="shared" si="4"/>
        <v>Ganador</v>
      </c>
      <c r="S48" t="str">
        <f>VLOOKUP(F48,Parametros!$A$25:$B$29,2,TRUE)</f>
        <v>15% a 30%</v>
      </c>
      <c r="T48" s="14" t="str">
        <f t="shared" si="5"/>
        <v/>
      </c>
      <c r="U48" cm="1">
        <f t="array" ref="U48">IF(J48="","",IFERROR(_xlfn.AGGREGATE(15,6,ROW('Motivos detalle'!$C$2:$C$274)/(('Motivos detalle'!$C$2:$C$274="ENTRA")*('Motivos detalle'!$B$2:$B$274=C48)*(ROW('Motivos detalle'!$C$2:$C$274)&gt;J48)),1),""))</f>
        <v>94</v>
      </c>
      <c r="V48" s="17" cm="1">
        <f t="array" ref="V48">IF(U48="","",INDEX('Motivos detalle'!$A:$A,U48))</f>
        <v>43879</v>
      </c>
      <c r="W48">
        <f t="shared" si="6"/>
        <v>13</v>
      </c>
      <c r="X48" s="19" cm="1">
        <f t="array" ref="X48">IF(U48="","",INDEX('Motivos detalle'!$G:$G,U48))</f>
        <v>53.79</v>
      </c>
      <c r="Y48" t="str">
        <f>IF(W48="","No",IF(W48&lt;Parametros!$B$4,"Sí","No"))</f>
        <v>No</v>
      </c>
      <c r="Z48" s="14" t="str">
        <f t="shared" si="7"/>
        <v/>
      </c>
      <c r="AA48" t="str">
        <f>IF(F48&gt;Parametros!$B$7,"Sí","No")</f>
        <v>Sí</v>
      </c>
      <c r="AB48" s="15">
        <f>VLOOKUP(YEAR(D48),Parametros!$A$11:$B$21,2,FALSE)</f>
        <v>2.1000000000000001E-2</v>
      </c>
      <c r="AC48" t="str">
        <f t="shared" si="8"/>
        <v>Sí</v>
      </c>
      <c r="AD48" t="str">
        <f>IF(N48="ruptura piso Donchian",IF(T48&gt;-Parametros!$B$6,"Sí","No"),"")</f>
        <v/>
      </c>
      <c r="AE48" s="15">
        <f>IF(J48="","",(L48*(1-Parametros!$B$32))/(G48*(1+Parametros!$B$32))-1)</f>
        <v>4.4810156968912995E-2</v>
      </c>
      <c r="AF48" s="15">
        <f t="shared" si="9"/>
        <v>4.1876158595948176E-3</v>
      </c>
    </row>
    <row r="49" spans="1:32" x14ac:dyDescent="0.3">
      <c r="A49">
        <f t="shared" si="0"/>
        <v>46</v>
      </c>
      <c r="B49" cm="1">
        <f t="array" ref="B49">IFERROR(_xlfn.AGGREGATE(15,6,ROW('Motivos detalle'!$C$2:$C$274)/('Motivos detalle'!$C$2:$C$274="ENTRA"),A49),"")</f>
        <v>90</v>
      </c>
      <c r="C49" s="16" t="str" cm="1">
        <f t="array" ref="C49">INDEX('Motivos detalle'!$B:$B,$B49)</f>
        <v>XLF</v>
      </c>
      <c r="D49" s="17" cm="1">
        <f t="array" ref="D49">INDEX('Motivos detalle'!$A:$A,$B49)</f>
        <v>43805</v>
      </c>
      <c r="E49" s="16" cm="1">
        <f t="array" ref="E49">INDEX('Motivos detalle'!$E:$E,$B49)</f>
        <v>2</v>
      </c>
      <c r="F49" s="18" cm="1">
        <f t="array" ref="F49">INDEX('Motivos detalle'!$F:$F,$B49)</f>
        <v>0.2117</v>
      </c>
      <c r="G49" s="19" cm="1">
        <f t="array" ref="G49">INDEX('Motivos detalle'!$G:$G,$B49)</f>
        <v>26.77</v>
      </c>
      <c r="H49" s="19" cm="1">
        <f t="array" ref="H49">INDEX('Motivos detalle'!$H:$H,$B49)</f>
        <v>26.68</v>
      </c>
      <c r="I49" s="18">
        <f t="shared" si="1"/>
        <v>3.3733133433282436E-3</v>
      </c>
      <c r="J49" s="16" cm="1">
        <f t="array" ref="J49">IFERROR(_xlfn.AGGREGATE(15,6,ROW('Motivos detalle'!$C$2:$C$274)/(('Motivos detalle'!$C$2:$C$274="SALE")*('Motivos detalle'!$B$2:$B$274=C49)*(ROW('Motivos detalle'!$C$2:$C$274)&gt;B49)),1),"")</f>
        <v>91</v>
      </c>
      <c r="K49" s="17" cm="1">
        <f t="array" ref="K49">IF($J49="","",INDEX('Motivos detalle'!$A:$A,$J49))</f>
        <v>43845</v>
      </c>
      <c r="L49" s="19" cm="1">
        <f t="array" ref="L49">IF($J49="","",INDEX('Motivos detalle'!$G:$G,$J49))</f>
        <v>27.18</v>
      </c>
      <c r="M49" s="19" cm="1">
        <f t="array" ref="M49">IF($J49="","",INDEX('Motivos detalle'!$H:$H,$J49))</f>
        <v>27</v>
      </c>
      <c r="N49" s="16" t="str" cm="1">
        <f t="array" ref="N49">IF($J49="","Abierto",INDEX('Motivos detalle'!$D:$D,$J49))</f>
        <v>cae del ranking (&gt;#5)</v>
      </c>
      <c r="O49" s="16" cm="1">
        <f t="array" ref="O49">IF($J49="","",INDEX('Motivos detalle'!$E:$E,$J49))</f>
        <v>6</v>
      </c>
      <c r="P49">
        <f t="shared" si="2"/>
        <v>40</v>
      </c>
      <c r="Q49" s="14">
        <f t="shared" si="3"/>
        <v>1.5315651849084899E-2</v>
      </c>
      <c r="R49" t="str">
        <f t="shared" si="4"/>
        <v>Ganador</v>
      </c>
      <c r="S49" t="str">
        <f>VLOOKUP(F49,Parametros!$A$25:$B$29,2,TRUE)</f>
        <v>15% a 30%</v>
      </c>
      <c r="T49" s="14" t="str">
        <f t="shared" si="5"/>
        <v/>
      </c>
      <c r="U49" cm="1">
        <f t="array" ref="U49">IF(J49="","",IFERROR(_xlfn.AGGREGATE(15,6,ROW('Motivos detalle'!$C$2:$C$274)/(('Motivos detalle'!$C$2:$C$274="ENTRA")*('Motivos detalle'!$B$2:$B$274=C49)*(ROW('Motivos detalle'!$C$2:$C$274)&gt;J49)),1),""))</f>
        <v>125</v>
      </c>
      <c r="V49" s="17" cm="1">
        <f t="array" ref="V49">IF(U49="","",INDEX('Motivos detalle'!$A:$A,U49))</f>
        <v>44315</v>
      </c>
      <c r="W49">
        <f t="shared" si="6"/>
        <v>470</v>
      </c>
      <c r="X49" s="19" cm="1">
        <f t="array" ref="X49">IF(U49="","",INDEX('Motivos detalle'!$G:$G,U49))</f>
        <v>33.409999999999997</v>
      </c>
      <c r="Y49" t="str">
        <f>IF(W49="","No",IF(W49&lt;Parametros!$B$4,"Sí","No"))</f>
        <v>No</v>
      </c>
      <c r="Z49" s="14" t="str">
        <f t="shared" si="7"/>
        <v/>
      </c>
      <c r="AA49" t="str">
        <f>IF(F49&gt;Parametros!$B$7,"Sí","No")</f>
        <v>Sí</v>
      </c>
      <c r="AB49" s="15">
        <f>VLOOKUP(YEAR(D49),Parametros!$A$11:$B$21,2,FALSE)</f>
        <v>2.1000000000000001E-2</v>
      </c>
      <c r="AC49" t="str">
        <f t="shared" si="8"/>
        <v>Sí</v>
      </c>
      <c r="AD49" t="str">
        <f>IF(N49="ruptura piso Donchian",IF(T49&gt;-Parametros!$B$6,"Sí","No"),"")</f>
        <v/>
      </c>
      <c r="AE49" s="15">
        <f>IF(J49="","",(L49*(1-Parametros!$B$32))/(G49*(1+Parametros!$B$32))-1)</f>
        <v>1.126249555427794E-2</v>
      </c>
      <c r="AF49" s="15">
        <f t="shared" si="9"/>
        <v>4.0531562948069588E-3</v>
      </c>
    </row>
    <row r="50" spans="1:32" x14ac:dyDescent="0.3">
      <c r="A50">
        <f t="shared" si="0"/>
        <v>47</v>
      </c>
      <c r="B50" cm="1">
        <f t="array" ref="B50">IFERROR(_xlfn.AGGREGATE(15,6,ROW('Motivos detalle'!$C$2:$C$274)/('Motivos detalle'!$C$2:$C$274="ENTRA"),A50),"")</f>
        <v>92</v>
      </c>
      <c r="C50" s="16" t="str" cm="1">
        <f t="array" ref="C50">INDEX('Motivos detalle'!$B:$B,$B50)</f>
        <v>XLU</v>
      </c>
      <c r="D50" s="17" cm="1">
        <f t="array" ref="D50">INDEX('Motivos detalle'!$A:$A,$B50)</f>
        <v>43845</v>
      </c>
      <c r="E50" s="16" cm="1">
        <f t="array" ref="E50">INDEX('Motivos detalle'!$E:$E,$B50)</f>
        <v>2</v>
      </c>
      <c r="F50" s="18" cm="1">
        <f t="array" ref="F50">INDEX('Motivos detalle'!$F:$F,$B50)</f>
        <v>0.29020000000000001</v>
      </c>
      <c r="G50" s="19" cm="1">
        <f t="array" ref="G50">INDEX('Motivos detalle'!$G:$G,$B50)</f>
        <v>26.95</v>
      </c>
      <c r="H50" s="19" cm="1">
        <f t="array" ref="H50">INDEX('Motivos detalle'!$H:$H,$B50)</f>
        <v>26.58</v>
      </c>
      <c r="I50" s="18">
        <f t="shared" si="1"/>
        <v>1.3920240782543392E-2</v>
      </c>
      <c r="J50" s="16" cm="1">
        <f t="array" ref="J50">IFERROR(_xlfn.AGGREGATE(15,6,ROW('Motivos detalle'!$C$2:$C$274)/(('Motivos detalle'!$C$2:$C$274="SALE")*('Motivos detalle'!$B$2:$B$274=C50)*(ROW('Motivos detalle'!$C$2:$C$274)&gt;B50)),1),"")</f>
        <v>97</v>
      </c>
      <c r="K50" s="17" cm="1">
        <f t="array" ref="K50">IF($J50="","",INDEX('Motivos detalle'!$A:$A,$J50))</f>
        <v>43887</v>
      </c>
      <c r="L50" s="19" cm="1">
        <f t="array" ref="L50">IF($J50="","",INDEX('Motivos detalle'!$G:$G,$J50))</f>
        <v>27.55</v>
      </c>
      <c r="M50" s="19" cm="1">
        <f t="array" ref="M50">IF($J50="","",INDEX('Motivos detalle'!$H:$H,$J50))</f>
        <v>27.78</v>
      </c>
      <c r="N50" s="16" t="str" cm="1">
        <f t="array" ref="N50">IF($J50="","Abierto",INDEX('Motivos detalle'!$D:$D,$J50))</f>
        <v>ruptura piso Donchian</v>
      </c>
      <c r="O50" s="16" cm="1">
        <f t="array" ref="O50">IF($J50="","",INDEX('Motivos detalle'!$E:$E,$J50))</f>
        <v>2</v>
      </c>
      <c r="P50">
        <f t="shared" si="2"/>
        <v>42</v>
      </c>
      <c r="Q50" s="14">
        <f t="shared" si="3"/>
        <v>2.226345083487935E-2</v>
      </c>
      <c r="R50" t="str">
        <f t="shared" si="4"/>
        <v>Ganador</v>
      </c>
      <c r="S50" t="str">
        <f>VLOOKUP(F50,Parametros!$A$25:$B$29,2,TRUE)</f>
        <v>15% a 30%</v>
      </c>
      <c r="T50" s="14">
        <f t="shared" si="5"/>
        <v>-8.2793376529878282E-3</v>
      </c>
      <c r="U50" cm="1">
        <f t="array" ref="U50">IF(J50="","",IFERROR(_xlfn.AGGREGATE(15,6,ROW('Motivos detalle'!$C$2:$C$274)/(('Motivos detalle'!$C$2:$C$274="ENTRA")*('Motivos detalle'!$B$2:$B$274=C50)*(ROW('Motivos detalle'!$C$2:$C$274)&gt;J50)),1),""))</f>
        <v>99</v>
      </c>
      <c r="V50" s="17" cm="1">
        <f t="array" ref="V50">IF(U50="","",INDEX('Motivos detalle'!$A:$A,U50))</f>
        <v>43930</v>
      </c>
      <c r="W50">
        <f t="shared" si="6"/>
        <v>43</v>
      </c>
      <c r="X50" s="19" cm="1">
        <f t="array" ref="X50">IF(U50="","",INDEX('Motivos detalle'!$G:$G,U50))</f>
        <v>25.13</v>
      </c>
      <c r="Y50" t="str">
        <f>IF(W50="","No",IF(W50&lt;Parametros!$B$4,"Sí","No"))</f>
        <v>No</v>
      </c>
      <c r="Z50" s="14" t="str">
        <f t="shared" si="7"/>
        <v/>
      </c>
      <c r="AA50" t="str">
        <f>IF(F50&gt;Parametros!$B$7,"Sí","No")</f>
        <v>Sí</v>
      </c>
      <c r="AB50" s="15">
        <f>VLOOKUP(YEAR(D50),Parametros!$A$11:$B$21,2,FALSE)</f>
        <v>4.0000000000000001E-3</v>
      </c>
      <c r="AC50" t="str">
        <f t="shared" si="8"/>
        <v>Sí</v>
      </c>
      <c r="AD50" t="str">
        <f>IF(N50="ruptura piso Donchian",IF(T50&gt;-Parametros!$B$6,"Sí","No"),"")</f>
        <v>No</v>
      </c>
      <c r="AE50" s="15">
        <f>IF(J50="","",(L50*(1-Parametros!$B$32))/(G50*(1+Parametros!$B$32))-1)</f>
        <v>1.818255881557862E-2</v>
      </c>
      <c r="AF50" s="15">
        <f t="shared" si="9"/>
        <v>4.0808920193007303E-3</v>
      </c>
    </row>
    <row r="51" spans="1:32" x14ac:dyDescent="0.3">
      <c r="A51">
        <f t="shared" si="0"/>
        <v>48</v>
      </c>
      <c r="B51" cm="1">
        <f t="array" ref="B51">IFERROR(_xlfn.AGGREGATE(15,6,ROW('Motivos detalle'!$C$2:$C$274)/('Motivos detalle'!$C$2:$C$274="ENTRA"),A51),"")</f>
        <v>94</v>
      </c>
      <c r="C51" s="16" t="str" cm="1">
        <f t="array" ref="C51">INDEX('Motivos detalle'!$B:$B,$B51)</f>
        <v>XLC</v>
      </c>
      <c r="D51" s="17" cm="1">
        <f t="array" ref="D51">INDEX('Motivos detalle'!$A:$A,$B51)</f>
        <v>43879</v>
      </c>
      <c r="E51" s="16" cm="1">
        <f t="array" ref="E51">INDEX('Motivos detalle'!$E:$E,$B51)</f>
        <v>3</v>
      </c>
      <c r="F51" s="18" cm="1">
        <f t="array" ref="F51">INDEX('Motivos detalle'!$F:$F,$B51)</f>
        <v>0.252</v>
      </c>
      <c r="G51" s="19" cm="1">
        <f t="array" ref="G51">INDEX('Motivos detalle'!$G:$G,$B51)</f>
        <v>53.79</v>
      </c>
      <c r="H51" s="19" cm="1">
        <f t="array" ref="H51">INDEX('Motivos detalle'!$H:$H,$B51)</f>
        <v>53.57</v>
      </c>
      <c r="I51" s="18">
        <f t="shared" si="1"/>
        <v>4.1067761806981018E-3</v>
      </c>
      <c r="J51" s="16" cm="1">
        <f t="array" ref="J51">IFERROR(_xlfn.AGGREGATE(15,6,ROW('Motivos detalle'!$C$2:$C$274)/(('Motivos detalle'!$C$2:$C$274="SALE")*('Motivos detalle'!$B$2:$B$274=C51)*(ROW('Motivos detalle'!$C$2:$C$274)&gt;B51)),1),"")</f>
        <v>96</v>
      </c>
      <c r="K51" s="17" cm="1">
        <f t="array" ref="K51">IF($J51="","",INDEX('Motivos detalle'!$A:$A,$J51))</f>
        <v>43886</v>
      </c>
      <c r="L51" s="19" cm="1">
        <f t="array" ref="L51">IF($J51="","",INDEX('Motivos detalle'!$G:$G,$J51))</f>
        <v>49.54</v>
      </c>
      <c r="M51" s="19" cm="1">
        <f t="array" ref="M51">IF($J51="","",INDEX('Motivos detalle'!$H:$H,$J51))</f>
        <v>50.48</v>
      </c>
      <c r="N51" s="16" t="str" cm="1">
        <f t="array" ref="N51">IF($J51="","Abierto",INDEX('Motivos detalle'!$D:$D,$J51))</f>
        <v>ruptura piso Donchian</v>
      </c>
      <c r="O51" s="16" cm="1">
        <f t="array" ref="O51">IF($J51="","",INDEX('Motivos detalle'!$E:$E,$J51))</f>
        <v>5</v>
      </c>
      <c r="P51">
        <f t="shared" si="2"/>
        <v>7</v>
      </c>
      <c r="Q51" s="14">
        <f t="shared" si="3"/>
        <v>-7.901096858152068E-2</v>
      </c>
      <c r="R51" t="str">
        <f t="shared" si="4"/>
        <v>Perdedor</v>
      </c>
      <c r="S51" t="str">
        <f>VLOOKUP(F51,Parametros!$A$25:$B$29,2,TRUE)</f>
        <v>15% a 30%</v>
      </c>
      <c r="T51" s="14">
        <f t="shared" si="5"/>
        <v>-1.8621236133121943E-2</v>
      </c>
      <c r="U51" cm="1">
        <f t="array" ref="U51">IF(J51="","",IFERROR(_xlfn.AGGREGATE(15,6,ROW('Motivos detalle'!$C$2:$C$274)/(('Motivos detalle'!$C$2:$C$274="ENTRA")*('Motivos detalle'!$B$2:$B$274=C51)*(ROW('Motivos detalle'!$C$2:$C$274)&gt;J51)),1),""))</f>
        <v>102</v>
      </c>
      <c r="V51" s="17" cm="1">
        <f t="array" ref="V51">IF(U51="","",INDEX('Motivos detalle'!$A:$A,U51))</f>
        <v>43959</v>
      </c>
      <c r="W51">
        <f t="shared" si="6"/>
        <v>73</v>
      </c>
      <c r="X51" s="19" cm="1">
        <f t="array" ref="X51">IF(U51="","",INDEX('Motivos detalle'!$G:$G,U51))</f>
        <v>48.8</v>
      </c>
      <c r="Y51" t="str">
        <f>IF(W51="","No",IF(W51&lt;Parametros!$B$4,"Sí","No"))</f>
        <v>No</v>
      </c>
      <c r="Z51" s="14" t="str">
        <f t="shared" si="7"/>
        <v/>
      </c>
      <c r="AA51" t="str">
        <f>IF(F51&gt;Parametros!$B$7,"Sí","No")</f>
        <v>Sí</v>
      </c>
      <c r="AB51" s="15">
        <f>VLOOKUP(YEAR(D51),Parametros!$A$11:$B$21,2,FALSE)</f>
        <v>4.0000000000000001E-3</v>
      </c>
      <c r="AC51" t="str">
        <f t="shared" si="8"/>
        <v>Sí</v>
      </c>
      <c r="AD51" t="str">
        <f>IF(N51="ruptura piso Donchian",IF(T51&gt;-Parametros!$B$6,"Sí","No"),"")</f>
        <v>No</v>
      </c>
      <c r="AE51" s="15">
        <f>IF(J51="","",(L51*(1-Parametros!$B$32))/(G51*(1+Parametros!$B$32))-1)</f>
        <v>-8.2687571501354973E-2</v>
      </c>
      <c r="AF51" s="15">
        <f t="shared" si="9"/>
        <v>3.6766029198342931E-3</v>
      </c>
    </row>
    <row r="52" spans="1:32" x14ac:dyDescent="0.3">
      <c r="A52">
        <f t="shared" si="0"/>
        <v>49</v>
      </c>
      <c r="B52" cm="1">
        <f t="array" ref="B52">IFERROR(_xlfn.AGGREGATE(15,6,ROW('Motivos detalle'!$C$2:$C$274)/('Motivos detalle'!$C$2:$C$274="ENTRA"),A52),"")</f>
        <v>98</v>
      </c>
      <c r="C52" s="16" t="str" cm="1">
        <f t="array" ref="C52">INDEX('Motivos detalle'!$B:$B,$B52)</f>
        <v>XLV</v>
      </c>
      <c r="D52" s="17" cm="1">
        <f t="array" ref="D52">INDEX('Motivos detalle'!$A:$A,$B52)</f>
        <v>43929</v>
      </c>
      <c r="E52" s="16" cm="1">
        <f t="array" ref="E52">INDEX('Motivos detalle'!$E:$E,$B52)</f>
        <v>3</v>
      </c>
      <c r="F52" s="18" cm="1">
        <f t="array" ref="F52">INDEX('Motivos detalle'!$F:$F,$B52)</f>
        <v>5.28E-2</v>
      </c>
      <c r="G52" s="19" cm="1">
        <f t="array" ref="G52">INDEX('Motivos detalle'!$G:$G,$B52)</f>
        <v>85.28</v>
      </c>
      <c r="H52" s="19" cm="1">
        <f t="array" ref="H52">INDEX('Motivos detalle'!$H:$H,$B52)</f>
        <v>84.83</v>
      </c>
      <c r="I52" s="18">
        <f t="shared" si="1"/>
        <v>5.3047271012613972E-3</v>
      </c>
      <c r="J52" s="16" cm="1">
        <f t="array" ref="J52">IFERROR(_xlfn.AGGREGATE(15,6,ROW('Motivos detalle'!$C$2:$C$274)/(('Motivos detalle'!$C$2:$C$274="SALE")*('Motivos detalle'!$B$2:$B$274=C52)*(ROW('Motivos detalle'!$C$2:$C$274)&gt;B52)),1),"")</f>
        <v>103</v>
      </c>
      <c r="K52" s="17" cm="1">
        <f t="array" ref="K52">IF($J52="","",INDEX('Motivos detalle'!$A:$A,$J52))</f>
        <v>43993</v>
      </c>
      <c r="L52" s="19" cm="1">
        <f t="array" ref="L52">IF($J52="","",INDEX('Motivos detalle'!$G:$G,$J52))</f>
        <v>87.68</v>
      </c>
      <c r="M52" s="19" cm="1">
        <f t="array" ref="M52">IF($J52="","",INDEX('Motivos detalle'!$H:$H,$J52))</f>
        <v>88.22</v>
      </c>
      <c r="N52" s="16" t="str" cm="1">
        <f t="array" ref="N52">IF($J52="","Abierto",INDEX('Motivos detalle'!$D:$D,$J52))</f>
        <v>ruptura piso Donchian</v>
      </c>
      <c r="O52" s="16" cm="1">
        <f t="array" ref="O52">IF($J52="","",INDEX('Motivos detalle'!$E:$E,$J52))</f>
        <v>3</v>
      </c>
      <c r="P52">
        <f t="shared" si="2"/>
        <v>64</v>
      </c>
      <c r="Q52" s="14">
        <f t="shared" si="3"/>
        <v>2.8142589118199002E-2</v>
      </c>
      <c r="R52" t="str">
        <f t="shared" si="4"/>
        <v>Ganador</v>
      </c>
      <c r="S52" t="str">
        <f>VLOOKUP(F52,Parametros!$A$25:$B$29,2,TRUE)</f>
        <v>5% a 15%</v>
      </c>
      <c r="T52" s="14">
        <f t="shared" si="5"/>
        <v>-6.1210609839037478E-3</v>
      </c>
      <c r="U52" cm="1">
        <f t="array" ref="U52">IF(J52="","",IFERROR(_xlfn.AGGREGATE(15,6,ROW('Motivos detalle'!$C$2:$C$274)/(('Motivos detalle'!$C$2:$C$274="ENTRA")*('Motivos detalle'!$B$2:$B$274=C52)*(ROW('Motivos detalle'!$C$2:$C$274)&gt;J52)),1),""))</f>
        <v>106</v>
      </c>
      <c r="V52" s="17" cm="1">
        <f t="array" ref="V52">IF(U52="","",INDEX('Motivos detalle'!$A:$A,U52))</f>
        <v>44027</v>
      </c>
      <c r="W52">
        <f t="shared" si="6"/>
        <v>34</v>
      </c>
      <c r="X52" s="19" cm="1">
        <f t="array" ref="X52">IF(U52="","",INDEX('Motivos detalle'!$G:$G,U52))</f>
        <v>95.01</v>
      </c>
      <c r="Y52" t="str">
        <f>IF(W52="","No",IF(W52&lt;Parametros!$B$4,"Sí","No"))</f>
        <v>No</v>
      </c>
      <c r="Z52" s="14" t="str">
        <f t="shared" si="7"/>
        <v/>
      </c>
      <c r="AA52" t="str">
        <f>IF(F52&gt;Parametros!$B$7,"Sí","No")</f>
        <v>Sí</v>
      </c>
      <c r="AB52" s="15">
        <f>VLOOKUP(YEAR(D52),Parametros!$A$11:$B$21,2,FALSE)</f>
        <v>4.0000000000000001E-3</v>
      </c>
      <c r="AC52" t="str">
        <f t="shared" si="8"/>
        <v>Sí</v>
      </c>
      <c r="AD52" t="str">
        <f>IF(N52="ruptura piso Donchian",IF(T52&gt;-Parametros!$B$6,"Sí","No"),"")</f>
        <v>No</v>
      </c>
      <c r="AE52" s="15">
        <f>IF(J52="","",(L52*(1-Parametros!$B$32))/(G52*(1+Parametros!$B$32))-1)</f>
        <v>2.4038227484992625E-2</v>
      </c>
      <c r="AF52" s="15">
        <f t="shared" si="9"/>
        <v>4.104361633206377E-3</v>
      </c>
    </row>
    <row r="53" spans="1:32" x14ac:dyDescent="0.3">
      <c r="A53">
        <f t="shared" si="0"/>
        <v>50</v>
      </c>
      <c r="B53" cm="1">
        <f t="array" ref="B53">IFERROR(_xlfn.AGGREGATE(15,6,ROW('Motivos detalle'!$C$2:$C$274)/('Motivos detalle'!$C$2:$C$274="ENTRA"),A53),"")</f>
        <v>99</v>
      </c>
      <c r="C53" s="16" t="str" cm="1">
        <f t="array" ref="C53">INDEX('Motivos detalle'!$B:$B,$B53)</f>
        <v>XLU</v>
      </c>
      <c r="D53" s="17" cm="1">
        <f t="array" ref="D53">INDEX('Motivos detalle'!$A:$A,$B53)</f>
        <v>43930</v>
      </c>
      <c r="E53" s="16" cm="1">
        <f t="array" ref="E53">INDEX('Motivos detalle'!$E:$E,$B53)</f>
        <v>2</v>
      </c>
      <c r="F53" s="18" cm="1">
        <f t="array" ref="F53">INDEX('Motivos detalle'!$F:$F,$B53)</f>
        <v>9.0999999999999998E-2</v>
      </c>
      <c r="G53" s="19" cm="1">
        <f t="array" ref="G53">INDEX('Motivos detalle'!$G:$G,$B53)</f>
        <v>25.13</v>
      </c>
      <c r="H53" s="19" cm="1">
        <f t="array" ref="H53">INDEX('Motivos detalle'!$H:$H,$B53)</f>
        <v>24.19</v>
      </c>
      <c r="I53" s="18">
        <f t="shared" si="1"/>
        <v>3.8859032658123072E-2</v>
      </c>
      <c r="J53" s="16" cm="1">
        <f t="array" ref="J53">IFERROR(_xlfn.AGGREGATE(15,6,ROW('Motivos detalle'!$C$2:$C$274)/(('Motivos detalle'!$C$2:$C$274="SALE")*('Motivos detalle'!$B$2:$B$274=C53)*(ROW('Motivos detalle'!$C$2:$C$274)&gt;B53)),1),"")</f>
        <v>101</v>
      </c>
      <c r="K53" s="17" cm="1">
        <f t="array" ref="K53">IF($J53="","",INDEX('Motivos detalle'!$A:$A,$J53))</f>
        <v>43957</v>
      </c>
      <c r="L53" s="19" cm="1">
        <f t="array" ref="L53">IF($J53="","",INDEX('Motivos detalle'!$G:$G,$J53))</f>
        <v>22.65</v>
      </c>
      <c r="M53" s="19" cm="1">
        <f t="array" ref="M53">IF($J53="","",INDEX('Motivos detalle'!$H:$H,$J53))</f>
        <v>22.7</v>
      </c>
      <c r="N53" s="16" t="str" cm="1">
        <f t="array" ref="N53">IF($J53="","Abierto",INDEX('Motivos detalle'!$D:$D,$J53))</f>
        <v>ruptura piso Donchian</v>
      </c>
      <c r="O53" s="16" cm="1">
        <f t="array" ref="O53">IF($J53="","",INDEX('Motivos detalle'!$E:$E,$J53))</f>
        <v>5</v>
      </c>
      <c r="P53">
        <f t="shared" si="2"/>
        <v>27</v>
      </c>
      <c r="Q53" s="14">
        <f t="shared" si="3"/>
        <v>-9.8686828491842404E-2</v>
      </c>
      <c r="R53" t="str">
        <f t="shared" si="4"/>
        <v>Perdedor</v>
      </c>
      <c r="S53" t="str">
        <f>VLOOKUP(F53,Parametros!$A$25:$B$29,2,TRUE)</f>
        <v>5% a 15%</v>
      </c>
      <c r="T53" s="14">
        <f t="shared" si="5"/>
        <v>-2.2026431718061845E-3</v>
      </c>
      <c r="U53" cm="1">
        <f t="array" ref="U53">IF(J53="","",IFERROR(_xlfn.AGGREGATE(15,6,ROW('Motivos detalle'!$C$2:$C$274)/(('Motivos detalle'!$C$2:$C$274="ENTRA")*('Motivos detalle'!$B$2:$B$274=C53)*(ROW('Motivos detalle'!$C$2:$C$274)&gt;J53)),1),""))</f>
        <v>151</v>
      </c>
      <c r="V53" s="17" cm="1">
        <f t="array" ref="V53">IF(U53="","",INDEX('Motivos detalle'!$A:$A,U53))</f>
        <v>44624</v>
      </c>
      <c r="W53">
        <f t="shared" si="6"/>
        <v>667</v>
      </c>
      <c r="X53" s="19" cm="1">
        <f t="array" ref="X53">IF(U53="","",INDEX('Motivos detalle'!$G:$G,U53))</f>
        <v>30.97</v>
      </c>
      <c r="Y53" t="str">
        <f>IF(W53="","No",IF(W53&lt;Parametros!$B$4,"Sí","No"))</f>
        <v>No</v>
      </c>
      <c r="Z53" s="14" t="str">
        <f t="shared" si="7"/>
        <v/>
      </c>
      <c r="AA53" t="str">
        <f>IF(F53&gt;Parametros!$B$7,"Sí","No")</f>
        <v>Sí</v>
      </c>
      <c r="AB53" s="15">
        <f>VLOOKUP(YEAR(D53),Parametros!$A$11:$B$21,2,FALSE)</f>
        <v>4.0000000000000001E-3</v>
      </c>
      <c r="AC53" t="str">
        <f t="shared" si="8"/>
        <v>Sí</v>
      </c>
      <c r="AD53" t="str">
        <f>IF(N53="ruptura piso Donchian",IF(T53&gt;-Parametros!$B$6,"Sí","No"),"")</f>
        <v>Sí</v>
      </c>
      <c r="AE53" s="15">
        <f>IF(J53="","",(L53*(1-Parametros!$B$32))/(G53*(1+Parametros!$B$32))-1)</f>
        <v>-0.10228488506472944</v>
      </c>
      <c r="AF53" s="15">
        <f t="shared" si="9"/>
        <v>3.5980565728870317E-3</v>
      </c>
    </row>
    <row r="54" spans="1:32" x14ac:dyDescent="0.3">
      <c r="A54">
        <f t="shared" si="0"/>
        <v>51</v>
      </c>
      <c r="B54" cm="1">
        <f t="array" ref="B54">IFERROR(_xlfn.AGGREGATE(15,6,ROW('Motivos detalle'!$C$2:$C$274)/('Motivos detalle'!$C$2:$C$274="ENTRA"),A54),"")</f>
        <v>100</v>
      </c>
      <c r="C54" s="16" t="str" cm="1">
        <f t="array" ref="C54">INDEX('Motivos detalle'!$B:$B,$B54)</f>
        <v>XLK</v>
      </c>
      <c r="D54" s="17" cm="1">
        <f t="array" ref="D54">INDEX('Motivos detalle'!$A:$A,$B54)</f>
        <v>43935</v>
      </c>
      <c r="E54" s="16" cm="1">
        <f t="array" ref="E54">INDEX('Motivos detalle'!$E:$E,$B54)</f>
        <v>1</v>
      </c>
      <c r="F54" s="18" cm="1">
        <f t="array" ref="F54">INDEX('Motivos detalle'!$F:$F,$B54)</f>
        <v>0.1759</v>
      </c>
      <c r="G54" s="19" cm="1">
        <f t="array" ref="G54">INDEX('Motivos detalle'!$G:$G,$B54)</f>
        <v>42.37</v>
      </c>
      <c r="H54" s="19" cm="1">
        <f t="array" ref="H54">INDEX('Motivos detalle'!$H:$H,$B54)</f>
        <v>41.28</v>
      </c>
      <c r="I54" s="18">
        <f t="shared" si="1"/>
        <v>2.6405038759689914E-2</v>
      </c>
      <c r="J54" s="16" cm="1">
        <f t="array" ref="J54">IFERROR(_xlfn.AGGREGATE(15,6,ROW('Motivos detalle'!$C$2:$C$274)/(('Motivos detalle'!$C$2:$C$274="SALE")*('Motivos detalle'!$B$2:$B$274=C54)*(ROW('Motivos detalle'!$C$2:$C$274)&gt;B54)),1),"")</f>
        <v>109</v>
      </c>
      <c r="K54" s="17" cm="1">
        <f t="array" ref="K54">IF($J54="","",INDEX('Motivos detalle'!$A:$A,$J54))</f>
        <v>44132</v>
      </c>
      <c r="L54" s="19" cm="1">
        <f t="array" ref="L54">IF($J54="","",INDEX('Motivos detalle'!$G:$G,$J54))</f>
        <v>53.37</v>
      </c>
      <c r="M54" s="19" cm="1">
        <f t="array" ref="M54">IF($J54="","",INDEX('Motivos detalle'!$H:$H,$J54))</f>
        <v>54.76</v>
      </c>
      <c r="N54" s="16" t="str" cm="1">
        <f t="array" ref="N54">IF($J54="","Abierto",INDEX('Motivos detalle'!$D:$D,$J54))</f>
        <v>ruptura piso Donchian</v>
      </c>
      <c r="O54" s="16" cm="1">
        <f t="array" ref="O54">IF($J54="","",INDEX('Motivos detalle'!$E:$E,$J54))</f>
        <v>1</v>
      </c>
      <c r="P54">
        <f t="shared" si="2"/>
        <v>197</v>
      </c>
      <c r="Q54" s="14">
        <f t="shared" si="3"/>
        <v>0.25961765400047199</v>
      </c>
      <c r="R54" t="str">
        <f t="shared" si="4"/>
        <v>Ganador</v>
      </c>
      <c r="S54" t="str">
        <f>VLOOKUP(F54,Parametros!$A$25:$B$29,2,TRUE)</f>
        <v>15% a 30%</v>
      </c>
      <c r="T54" s="14">
        <f t="shared" si="5"/>
        <v>-2.5383491599707875E-2</v>
      </c>
      <c r="U54" cm="1">
        <f t="array" ref="U54">IF(J54="","",IFERROR(_xlfn.AGGREGATE(15,6,ROW('Motivos detalle'!$C$2:$C$274)/(('Motivos detalle'!$C$2:$C$274="ENTRA")*('Motivos detalle'!$B$2:$B$274=C54)*(ROW('Motivos detalle'!$C$2:$C$274)&gt;J54)),1),""))</f>
        <v>111</v>
      </c>
      <c r="V54" s="17" cm="1">
        <f t="array" ref="V54">IF(U54="","",INDEX('Motivos detalle'!$A:$A,U54))</f>
        <v>44181</v>
      </c>
      <c r="W54">
        <f t="shared" si="6"/>
        <v>49</v>
      </c>
      <c r="X54" s="19" cm="1">
        <f t="array" ref="X54">IF(U54="","",INDEX('Motivos detalle'!$G:$G,U54))</f>
        <v>61.11</v>
      </c>
      <c r="Y54" t="str">
        <f>IF(W54="","No",IF(W54&lt;Parametros!$B$4,"Sí","No"))</f>
        <v>No</v>
      </c>
      <c r="Z54" s="14" t="str">
        <f t="shared" si="7"/>
        <v/>
      </c>
      <c r="AA54" t="str">
        <f>IF(F54&gt;Parametros!$B$7,"Sí","No")</f>
        <v>Sí</v>
      </c>
      <c r="AB54" s="15">
        <f>VLOOKUP(YEAR(D54),Parametros!$A$11:$B$21,2,FALSE)</f>
        <v>4.0000000000000001E-3</v>
      </c>
      <c r="AC54" t="str">
        <f t="shared" si="8"/>
        <v>Sí</v>
      </c>
      <c r="AD54" t="str">
        <f>IF(N54="ruptura piso Donchian",IF(T54&gt;-Parametros!$B$6,"Sí","No"),"")</f>
        <v>No</v>
      </c>
      <c r="AE54" s="15">
        <f>IF(J54="","",(L54*(1-Parametros!$B$32))/(G54*(1+Parametros!$B$32))-1)</f>
        <v>0.25458924021204687</v>
      </c>
      <c r="AF54" s="15">
        <f t="shared" si="9"/>
        <v>5.0284137884251123E-3</v>
      </c>
    </row>
    <row r="55" spans="1:32" x14ac:dyDescent="0.3">
      <c r="A55">
        <f t="shared" si="0"/>
        <v>52</v>
      </c>
      <c r="B55" cm="1">
        <f t="array" ref="B55">IFERROR(_xlfn.AGGREGATE(15,6,ROW('Motivos detalle'!$C$2:$C$274)/('Motivos detalle'!$C$2:$C$274="ENTRA"),A55),"")</f>
        <v>102</v>
      </c>
      <c r="C55" s="16" t="str" cm="1">
        <f t="array" ref="C55">INDEX('Motivos detalle'!$B:$B,$B55)</f>
        <v>XLC</v>
      </c>
      <c r="D55" s="17" cm="1">
        <f t="array" ref="D55">INDEX('Motivos detalle'!$A:$A,$B55)</f>
        <v>43959</v>
      </c>
      <c r="E55" s="16" cm="1">
        <f t="array" ref="E55">INDEX('Motivos detalle'!$E:$E,$B55)</f>
        <v>3</v>
      </c>
      <c r="F55" s="18" cm="1">
        <f t="array" ref="F55">INDEX('Motivos detalle'!$F:$F,$B55)</f>
        <v>6.9400000000000003E-2</v>
      </c>
      <c r="G55" s="19" cm="1">
        <f t="array" ref="G55">INDEX('Motivos detalle'!$G:$G,$B55)</f>
        <v>48.8</v>
      </c>
      <c r="H55" s="19" cm="1">
        <f t="array" ref="H55">INDEX('Motivos detalle'!$H:$H,$B55)</f>
        <v>48.11</v>
      </c>
      <c r="I55" s="18">
        <f t="shared" si="1"/>
        <v>1.4342132612762404E-2</v>
      </c>
      <c r="J55" s="16" cm="1">
        <f t="array" ref="J55">IFERROR(_xlfn.AGGREGATE(15,6,ROW('Motivos detalle'!$C$2:$C$274)/(('Motivos detalle'!$C$2:$C$274="SALE")*('Motivos detalle'!$B$2:$B$274=C55)*(ROW('Motivos detalle'!$C$2:$C$274)&gt;B55)),1),"")</f>
        <v>104</v>
      </c>
      <c r="K55" s="17" cm="1">
        <f t="array" ref="K55">IF($J55="","",INDEX('Motivos detalle'!$A:$A,$J55))</f>
        <v>44008</v>
      </c>
      <c r="L55" s="19" cm="1">
        <f t="array" ref="L55">IF($J55="","",INDEX('Motivos detalle'!$G:$G,$J55))</f>
        <v>49.48</v>
      </c>
      <c r="M55" s="19" cm="1">
        <f t="array" ref="M55">IF($J55="","",INDEX('Motivos detalle'!$H:$H,$J55))</f>
        <v>49.98</v>
      </c>
      <c r="N55" s="16" t="str" cm="1">
        <f t="array" ref="N55">IF($J55="","Abierto",INDEX('Motivos detalle'!$D:$D,$J55))</f>
        <v>ruptura piso Donchian</v>
      </c>
      <c r="O55" s="16" cm="1">
        <f t="array" ref="O55">IF($J55="","",INDEX('Motivos detalle'!$E:$E,$J55))</f>
        <v>2</v>
      </c>
      <c r="P55">
        <f t="shared" si="2"/>
        <v>49</v>
      </c>
      <c r="Q55" s="14">
        <f t="shared" si="3"/>
        <v>1.3934426229508245E-2</v>
      </c>
      <c r="R55" t="str">
        <f t="shared" si="4"/>
        <v>Ganador</v>
      </c>
      <c r="S55" t="str">
        <f>VLOOKUP(F55,Parametros!$A$25:$B$29,2,TRUE)</f>
        <v>5% a 15%</v>
      </c>
      <c r="T55" s="14">
        <f t="shared" si="5"/>
        <v>-1.00040016006403E-2</v>
      </c>
      <c r="U55" cm="1">
        <f t="array" ref="U55">IF(J55="","",IFERROR(_xlfn.AGGREGATE(15,6,ROW('Motivos detalle'!$C$2:$C$274)/(('Motivos detalle'!$C$2:$C$274="ENTRA")*('Motivos detalle'!$B$2:$B$274=C55)*(ROW('Motivos detalle'!$C$2:$C$274)&gt;J55)),1),""))</f>
        <v>105</v>
      </c>
      <c r="V55" s="17" cm="1">
        <f t="array" ref="V55">IF(U55="","",INDEX('Motivos detalle'!$A:$A,U55))</f>
        <v>44022</v>
      </c>
      <c r="W55">
        <f t="shared" si="6"/>
        <v>14</v>
      </c>
      <c r="X55" s="19" cm="1">
        <f t="array" ref="X55">IF(U55="","",INDEX('Motivos detalle'!$G:$G,U55))</f>
        <v>54.41</v>
      </c>
      <c r="Y55" t="str">
        <f>IF(W55="","No",IF(W55&lt;Parametros!$B$4,"Sí","No"))</f>
        <v>No</v>
      </c>
      <c r="Z55" s="14" t="str">
        <f t="shared" si="7"/>
        <v/>
      </c>
      <c r="AA55" t="str">
        <f>IF(F55&gt;Parametros!$B$7,"Sí","No")</f>
        <v>Sí</v>
      </c>
      <c r="AB55" s="15">
        <f>VLOOKUP(YEAR(D55),Parametros!$A$11:$B$21,2,FALSE)</f>
        <v>4.0000000000000001E-3</v>
      </c>
      <c r="AC55" t="str">
        <f t="shared" si="8"/>
        <v>Sí</v>
      </c>
      <c r="AD55" t="str">
        <f>IF(N55="ruptura piso Donchian",IF(T55&gt;-Parametros!$B$6,"Sí","No"),"")</f>
        <v>No</v>
      </c>
      <c r="AE55" s="15">
        <f>IF(J55="","",(L55*(1-Parametros!$B$32))/(G55*(1+Parametros!$B$32))-1)</f>
        <v>9.8867838094303107E-3</v>
      </c>
      <c r="AF55" s="15">
        <f t="shared" si="9"/>
        <v>4.0476424200779348E-3</v>
      </c>
    </row>
    <row r="56" spans="1:32" x14ac:dyDescent="0.3">
      <c r="A56">
        <f t="shared" si="0"/>
        <v>53</v>
      </c>
      <c r="B56" cm="1">
        <f t="array" ref="B56">IFERROR(_xlfn.AGGREGATE(15,6,ROW('Motivos detalle'!$C$2:$C$274)/('Motivos detalle'!$C$2:$C$274="ENTRA"),A56),"")</f>
        <v>105</v>
      </c>
      <c r="C56" s="16" t="str" cm="1">
        <f t="array" ref="C56">INDEX('Motivos detalle'!$B:$B,$B56)</f>
        <v>XLC</v>
      </c>
      <c r="D56" s="17" cm="1">
        <f t="array" ref="D56">INDEX('Motivos detalle'!$A:$A,$B56)</f>
        <v>44022</v>
      </c>
      <c r="E56" s="16" cm="1">
        <f t="array" ref="E56">INDEX('Motivos detalle'!$E:$E,$B56)</f>
        <v>2</v>
      </c>
      <c r="F56" s="18" cm="1">
        <f t="array" ref="F56">INDEX('Motivos detalle'!$F:$F,$B56)</f>
        <v>0.1449</v>
      </c>
      <c r="G56" s="19" cm="1">
        <f t="array" ref="G56">INDEX('Motivos detalle'!$G:$G,$B56)</f>
        <v>54.41</v>
      </c>
      <c r="H56" s="19" cm="1">
        <f t="array" ref="H56">INDEX('Motivos detalle'!$H:$H,$B56)</f>
        <v>53.73</v>
      </c>
      <c r="I56" s="18">
        <f t="shared" si="1"/>
        <v>1.2655871952354403E-2</v>
      </c>
      <c r="J56" s="16" cm="1">
        <f t="array" ref="J56">IFERROR(_xlfn.AGGREGATE(15,6,ROW('Motivos detalle'!$C$2:$C$274)/(('Motivos detalle'!$C$2:$C$274="SALE")*('Motivos detalle'!$B$2:$B$274=C56)*(ROW('Motivos detalle'!$C$2:$C$274)&gt;B56)),1),"")</f>
        <v>113</v>
      </c>
      <c r="K56" s="17" cm="1">
        <f t="array" ref="K56">IF($J56="","",INDEX('Motivos detalle'!$A:$A,$J56))</f>
        <v>44208</v>
      </c>
      <c r="L56" s="19" cm="1">
        <f t="array" ref="L56">IF($J56="","",INDEX('Motivos detalle'!$G:$G,$J56))</f>
        <v>61.73</v>
      </c>
      <c r="M56" s="19" cm="1">
        <f t="array" ref="M56">IF($J56="","",INDEX('Motivos detalle'!$H:$H,$J56))</f>
        <v>61.91</v>
      </c>
      <c r="N56" s="16" t="str" cm="1">
        <f t="array" ref="N56">IF($J56="","Abierto",INDEX('Motivos detalle'!$D:$D,$J56))</f>
        <v>ruptura piso Donchian</v>
      </c>
      <c r="O56" s="16" cm="1">
        <f t="array" ref="O56">IF($J56="","",INDEX('Motivos detalle'!$E:$E,$J56))</f>
        <v>4</v>
      </c>
      <c r="P56">
        <f t="shared" si="2"/>
        <v>186</v>
      </c>
      <c r="Q56" s="14">
        <f t="shared" si="3"/>
        <v>0.13453409299761065</v>
      </c>
      <c r="R56" t="str">
        <f t="shared" si="4"/>
        <v>Ganador</v>
      </c>
      <c r="S56" t="str">
        <f>VLOOKUP(F56,Parametros!$A$25:$B$29,2,TRUE)</f>
        <v>5% a 15%</v>
      </c>
      <c r="T56" s="14">
        <f t="shared" si="5"/>
        <v>-2.9074462930059886E-3</v>
      </c>
      <c r="U56" cm="1">
        <f t="array" ref="U56">IF(J56="","",IFERROR(_xlfn.AGGREGATE(15,6,ROW('Motivos detalle'!$C$2:$C$274)/(('Motivos detalle'!$C$2:$C$274="ENTRA")*('Motivos detalle'!$B$2:$B$274=C56)*(ROW('Motivos detalle'!$C$2:$C$274)&gt;J56)),1),""))</f>
        <v>114</v>
      </c>
      <c r="V56" s="17" cm="1">
        <f t="array" ref="V56">IF(U56="","",INDEX('Motivos detalle'!$A:$A,U56))</f>
        <v>44222</v>
      </c>
      <c r="W56">
        <f t="shared" si="6"/>
        <v>14</v>
      </c>
      <c r="X56" s="19" cm="1">
        <f t="array" ref="X56">IF(U56="","",INDEX('Motivos detalle'!$G:$G,U56))</f>
        <v>66.42</v>
      </c>
      <c r="Y56" t="str">
        <f>IF(W56="","No",IF(W56&lt;Parametros!$B$4,"Sí","No"))</f>
        <v>No</v>
      </c>
      <c r="Z56" s="14" t="str">
        <f t="shared" si="7"/>
        <v/>
      </c>
      <c r="AA56" t="str">
        <f>IF(F56&gt;Parametros!$B$7,"Sí","No")</f>
        <v>Sí</v>
      </c>
      <c r="AB56" s="15">
        <f>VLOOKUP(YEAR(D56),Parametros!$A$11:$B$21,2,FALSE)</f>
        <v>4.0000000000000001E-3</v>
      </c>
      <c r="AC56" t="str">
        <f t="shared" si="8"/>
        <v>Sí</v>
      </c>
      <c r="AD56" t="str">
        <f>IF(N56="ruptura piso Donchian",IF(T56&gt;-Parametros!$B$6,"Sí","No"),"")</f>
        <v>Sí</v>
      </c>
      <c r="AE56" s="15">
        <f>IF(J56="","",(L56*(1-Parametros!$B$32))/(G56*(1+Parametros!$B$32))-1)</f>
        <v>0.13000501478205129</v>
      </c>
      <c r="AF56" s="15">
        <f t="shared" si="9"/>
        <v>4.5290782155593678E-3</v>
      </c>
    </row>
    <row r="57" spans="1:32" x14ac:dyDescent="0.3">
      <c r="A57">
        <f t="shared" si="0"/>
        <v>54</v>
      </c>
      <c r="B57" cm="1">
        <f t="array" ref="B57">IFERROR(_xlfn.AGGREGATE(15,6,ROW('Motivos detalle'!$C$2:$C$274)/('Motivos detalle'!$C$2:$C$274="ENTRA"),A57),"")</f>
        <v>106</v>
      </c>
      <c r="C57" s="16" t="str" cm="1">
        <f t="array" ref="C57">INDEX('Motivos detalle'!$B:$B,$B57)</f>
        <v>XLV</v>
      </c>
      <c r="D57" s="17" cm="1">
        <f t="array" ref="D57">INDEX('Motivos detalle'!$A:$A,$B57)</f>
        <v>44027</v>
      </c>
      <c r="E57" s="16" cm="1">
        <f t="array" ref="E57">INDEX('Motivos detalle'!$E:$E,$B57)</f>
        <v>2</v>
      </c>
      <c r="F57" s="18" cm="1">
        <f t="array" ref="F57">INDEX('Motivos detalle'!$F:$F,$B57)</f>
        <v>0.16239999999999999</v>
      </c>
      <c r="G57" s="19" cm="1">
        <f t="array" ref="G57">INDEX('Motivos detalle'!$G:$G,$B57)</f>
        <v>95.01</v>
      </c>
      <c r="H57" s="19" cm="1">
        <f t="array" ref="H57">INDEX('Motivos detalle'!$H:$H,$B57)</f>
        <v>93.95</v>
      </c>
      <c r="I57" s="18">
        <f t="shared" si="1"/>
        <v>1.1282597126131E-2</v>
      </c>
      <c r="J57" s="16" cm="1">
        <f t="array" ref="J57">IFERROR(_xlfn.AGGREGATE(15,6,ROW('Motivos detalle'!$C$2:$C$274)/(('Motivos detalle'!$C$2:$C$274="SALE")*('Motivos detalle'!$B$2:$B$274=C57)*(ROW('Motivos detalle'!$C$2:$C$274)&gt;B57)),1),"")</f>
        <v>107</v>
      </c>
      <c r="K57" s="17" cm="1">
        <f t="array" ref="K57">IF($J57="","",INDEX('Motivos detalle'!$A:$A,$J57))</f>
        <v>44082</v>
      </c>
      <c r="L57" s="19" cm="1">
        <f t="array" ref="L57">IF($J57="","",INDEX('Motivos detalle'!$G:$G,$J57))</f>
        <v>94.4</v>
      </c>
      <c r="M57" s="19" cm="1">
        <f t="array" ref="M57">IF($J57="","",INDEX('Motivos detalle'!$H:$H,$J57))</f>
        <v>94.81</v>
      </c>
      <c r="N57" s="16" t="str" cm="1">
        <f t="array" ref="N57">IF($J57="","Abierto",INDEX('Motivos detalle'!$D:$D,$J57))</f>
        <v>ruptura piso Donchian</v>
      </c>
      <c r="O57" s="16" cm="1">
        <f t="array" ref="O57">IF($J57="","",INDEX('Motivos detalle'!$E:$E,$J57))</f>
        <v>4</v>
      </c>
      <c r="P57">
        <f t="shared" si="2"/>
        <v>55</v>
      </c>
      <c r="Q57" s="14">
        <f t="shared" si="3"/>
        <v>-6.4203768024418961E-3</v>
      </c>
      <c r="R57" t="str">
        <f t="shared" si="4"/>
        <v>Perdedor</v>
      </c>
      <c r="S57" t="str">
        <f>VLOOKUP(F57,Parametros!$A$25:$B$29,2,TRUE)</f>
        <v>15% a 30%</v>
      </c>
      <c r="T57" s="14">
        <f t="shared" si="5"/>
        <v>-4.3244383503849848E-3</v>
      </c>
      <c r="U57" cm="1">
        <f t="array" ref="U57">IF(J57="","",IFERROR(_xlfn.AGGREGATE(15,6,ROW('Motivos detalle'!$C$2:$C$274)/(('Motivos detalle'!$C$2:$C$274="ENTRA")*('Motivos detalle'!$B$2:$B$274=C57)*(ROW('Motivos detalle'!$C$2:$C$274)&gt;J57)),1),""))</f>
        <v>152</v>
      </c>
      <c r="V57" s="17" cm="1">
        <f t="array" ref="V57">IF(U57="","",INDEX('Motivos detalle'!$A:$A,U57))</f>
        <v>44636</v>
      </c>
      <c r="W57">
        <f t="shared" si="6"/>
        <v>554</v>
      </c>
      <c r="X57" s="19" cm="1">
        <f t="array" ref="X57">IF(U57="","",INDEX('Motivos detalle'!$G:$G,U57))</f>
        <v>124.51</v>
      </c>
      <c r="Y57" t="str">
        <f>IF(W57="","No",IF(W57&lt;Parametros!$B$4,"Sí","No"))</f>
        <v>No</v>
      </c>
      <c r="Z57" s="14" t="str">
        <f t="shared" si="7"/>
        <v/>
      </c>
      <c r="AA57" t="str">
        <f>IF(F57&gt;Parametros!$B$7,"Sí","No")</f>
        <v>Sí</v>
      </c>
      <c r="AB57" s="15">
        <f>VLOOKUP(YEAR(D57),Parametros!$A$11:$B$21,2,FALSE)</f>
        <v>4.0000000000000001E-3</v>
      </c>
      <c r="AC57" t="str">
        <f t="shared" si="8"/>
        <v>Sí</v>
      </c>
      <c r="AD57" t="str">
        <f>IF(N57="ruptura piso Donchian",IF(T57&gt;-Parametros!$B$6,"Sí","No"),"")</f>
        <v>No</v>
      </c>
      <c r="AE57" s="15">
        <f>IF(J57="","",(L57*(1-Parametros!$B$32))/(G57*(1+Parametros!$B$32))-1)</f>
        <v>-1.038676252378945E-2</v>
      </c>
      <c r="AF57" s="15">
        <f t="shared" si="9"/>
        <v>3.966385721347554E-3</v>
      </c>
    </row>
    <row r="58" spans="1:32" x14ac:dyDescent="0.3">
      <c r="A58">
        <f t="shared" si="0"/>
        <v>55</v>
      </c>
      <c r="B58" cm="1">
        <f t="array" ref="B58">IFERROR(_xlfn.AGGREGATE(15,6,ROW('Motivos detalle'!$C$2:$C$274)/('Motivos detalle'!$C$2:$C$274="ENTRA"),A58),"")</f>
        <v>108</v>
      </c>
      <c r="C58" s="16" t="str" cm="1">
        <f t="array" ref="C58">INDEX('Motivos detalle'!$B:$B,$B58)</f>
        <v>XLY</v>
      </c>
      <c r="D58" s="17" cm="1">
        <f t="array" ref="D58">INDEX('Motivos detalle'!$A:$A,$B58)</f>
        <v>44112</v>
      </c>
      <c r="E58" s="16" cm="1">
        <f t="array" ref="E58">INDEX('Motivos detalle'!$E:$E,$B58)</f>
        <v>2</v>
      </c>
      <c r="F58" s="18" cm="1">
        <f t="array" ref="F58">INDEX('Motivos detalle'!$F:$F,$B58)</f>
        <v>0.2979</v>
      </c>
      <c r="G58" s="19" cm="1">
        <f t="array" ref="G58">INDEX('Motivos detalle'!$G:$G,$B58)</f>
        <v>72.489999999999995</v>
      </c>
      <c r="H58" s="19" cm="1">
        <f t="array" ref="H58">INDEX('Motivos detalle'!$H:$H,$B58)</f>
        <v>72.180000000000007</v>
      </c>
      <c r="I58" s="18">
        <f t="shared" si="1"/>
        <v>4.29481850928215E-3</v>
      </c>
      <c r="J58" s="16" cm="1">
        <f t="array" ref="J58">IFERROR(_xlfn.AGGREGATE(15,6,ROW('Motivos detalle'!$C$2:$C$274)/(('Motivos detalle'!$C$2:$C$274="SALE")*('Motivos detalle'!$B$2:$B$274=C58)*(ROW('Motivos detalle'!$C$2:$C$274)&gt;B58)),1),"")</f>
        <v>110</v>
      </c>
      <c r="K58" s="17" cm="1">
        <f t="array" ref="K58">IF($J58="","",INDEX('Motivos detalle'!$A:$A,$J58))</f>
        <v>44132</v>
      </c>
      <c r="L58" s="19" cm="1">
        <f t="array" ref="L58">IF($J58="","",INDEX('Motivos detalle'!$G:$G,$J58))</f>
        <v>69.349999999999994</v>
      </c>
      <c r="M58" s="19" cm="1">
        <f t="array" ref="M58">IF($J58="","",INDEX('Motivos detalle'!$H:$H,$J58))</f>
        <v>69.739999999999995</v>
      </c>
      <c r="N58" s="16" t="str" cm="1">
        <f t="array" ref="N58">IF($J58="","Abierto",INDEX('Motivos detalle'!$D:$D,$J58))</f>
        <v>ruptura piso Donchian</v>
      </c>
      <c r="O58" s="16" cm="1">
        <f t="array" ref="O58">IF($J58="","",INDEX('Motivos detalle'!$E:$E,$J58))</f>
        <v>2</v>
      </c>
      <c r="P58">
        <f t="shared" si="2"/>
        <v>20</v>
      </c>
      <c r="Q58" s="14">
        <f t="shared" si="3"/>
        <v>-4.3316319492343824E-2</v>
      </c>
      <c r="R58" t="str">
        <f t="shared" si="4"/>
        <v>Perdedor</v>
      </c>
      <c r="S58" t="str">
        <f>VLOOKUP(F58,Parametros!$A$25:$B$29,2,TRUE)</f>
        <v>15% a 30%</v>
      </c>
      <c r="T58" s="14">
        <f t="shared" si="5"/>
        <v>-5.5921995985087625E-3</v>
      </c>
      <c r="U58" cm="1">
        <f t="array" ref="U58">IF(J58="","",IFERROR(_xlfn.AGGREGATE(15,6,ROW('Motivos detalle'!$C$2:$C$274)/(('Motivos detalle'!$C$2:$C$274="ENTRA")*('Motivos detalle'!$B$2:$B$274=C58)*(ROW('Motivos detalle'!$C$2:$C$274)&gt;J58)),1),""))</f>
        <v>112</v>
      </c>
      <c r="V58" s="17" cm="1">
        <f t="array" ref="V58">IF(U58="","",INDEX('Motivos detalle'!$A:$A,U58))</f>
        <v>44181</v>
      </c>
      <c r="W58">
        <f t="shared" si="6"/>
        <v>49</v>
      </c>
      <c r="X58" s="19" cm="1">
        <f t="array" ref="X58">IF(U58="","",INDEX('Motivos detalle'!$G:$G,U58))</f>
        <v>76.239999999999995</v>
      </c>
      <c r="Y58" t="str">
        <f>IF(W58="","No",IF(W58&lt;Parametros!$B$4,"Sí","No"))</f>
        <v>No</v>
      </c>
      <c r="Z58" s="14" t="str">
        <f t="shared" si="7"/>
        <v/>
      </c>
      <c r="AA58" t="str">
        <f>IF(F58&gt;Parametros!$B$7,"Sí","No")</f>
        <v>Sí</v>
      </c>
      <c r="AB58" s="15">
        <f>VLOOKUP(YEAR(D58),Parametros!$A$11:$B$21,2,FALSE)</f>
        <v>4.0000000000000001E-3</v>
      </c>
      <c r="AC58" t="str">
        <f t="shared" si="8"/>
        <v>Sí</v>
      </c>
      <c r="AD58" t="str">
        <f>IF(N58="ruptura piso Donchian",IF(T58&gt;-Parametros!$B$6,"Sí","No"),"")</f>
        <v>No</v>
      </c>
      <c r="AE58" s="15">
        <f>IF(J58="","",(L58*(1-Parametros!$B$32))/(G58*(1+Parametros!$B$32))-1)</f>
        <v>-4.7135416021316545E-2</v>
      </c>
      <c r="AF58" s="15">
        <f t="shared" si="9"/>
        <v>3.8190965289727208E-3</v>
      </c>
    </row>
    <row r="59" spans="1:32" x14ac:dyDescent="0.3">
      <c r="A59">
        <f t="shared" si="0"/>
        <v>56</v>
      </c>
      <c r="B59" cm="1">
        <f t="array" ref="B59">IFERROR(_xlfn.AGGREGATE(15,6,ROW('Motivos detalle'!$C$2:$C$274)/('Motivos detalle'!$C$2:$C$274="ENTRA"),A59),"")</f>
        <v>111</v>
      </c>
      <c r="C59" s="16" t="str" cm="1">
        <f t="array" ref="C59">INDEX('Motivos detalle'!$B:$B,$B59)</f>
        <v>XLK</v>
      </c>
      <c r="D59" s="17" cm="1">
        <f t="array" ref="D59">INDEX('Motivos detalle'!$A:$A,$B59)</f>
        <v>44181</v>
      </c>
      <c r="E59" s="16" cm="1">
        <f t="array" ref="E59">INDEX('Motivos detalle'!$E:$E,$B59)</f>
        <v>1</v>
      </c>
      <c r="F59" s="18" cm="1">
        <f t="array" ref="F59">INDEX('Motivos detalle'!$F:$F,$B59)</f>
        <v>0.43669999999999998</v>
      </c>
      <c r="G59" s="19" cm="1">
        <f t="array" ref="G59">INDEX('Motivos detalle'!$G:$G,$B59)</f>
        <v>61.11</v>
      </c>
      <c r="H59" s="19" cm="1">
        <f t="array" ref="H59">INDEX('Motivos detalle'!$H:$H,$B59)</f>
        <v>60.88</v>
      </c>
      <c r="I59" s="18">
        <f t="shared" si="1"/>
        <v>3.7779237844939306E-3</v>
      </c>
      <c r="J59" s="16" cm="1">
        <f t="array" ref="J59">IFERROR(_xlfn.AGGREGATE(15,6,ROW('Motivos detalle'!$C$2:$C$274)/(('Motivos detalle'!$C$2:$C$274="SALE")*('Motivos detalle'!$B$2:$B$274=C59)*(ROW('Motivos detalle'!$C$2:$C$274)&gt;B59)),1),"")</f>
        <v>115</v>
      </c>
      <c r="K59" s="17" cm="1">
        <f t="array" ref="K59">IF($J59="","",INDEX('Motivos detalle'!$A:$A,$J59))</f>
        <v>44259</v>
      </c>
      <c r="L59" s="19" cm="1">
        <f t="array" ref="L59">IF($J59="","",INDEX('Motivos detalle'!$G:$G,$J59))</f>
        <v>60.71</v>
      </c>
      <c r="M59" s="19" cm="1">
        <f t="array" ref="M59">IF($J59="","",INDEX('Motivos detalle'!$H:$H,$J59))</f>
        <v>61.69</v>
      </c>
      <c r="N59" s="16" t="str" cm="1">
        <f t="array" ref="N59">IF($J59="","Abierto",INDEX('Motivos detalle'!$D:$D,$J59))</f>
        <v>ruptura piso Donchian</v>
      </c>
      <c r="O59" s="16" cm="1">
        <f t="array" ref="O59">IF($J59="","",INDEX('Motivos detalle'!$E:$E,$J59))</f>
        <v>2</v>
      </c>
      <c r="P59">
        <f t="shared" si="2"/>
        <v>78</v>
      </c>
      <c r="Q59" s="14">
        <f t="shared" si="3"/>
        <v>-6.545573555882811E-3</v>
      </c>
      <c r="R59" t="str">
        <f t="shared" si="4"/>
        <v>Perdedor</v>
      </c>
      <c r="S59" t="str">
        <f>VLOOKUP(F59,Parametros!$A$25:$B$29,2,TRUE)</f>
        <v>Más de 30%</v>
      </c>
      <c r="T59" s="14">
        <f t="shared" si="5"/>
        <v>-1.5885881017993153E-2</v>
      </c>
      <c r="U59" cm="1">
        <f t="array" ref="U59">IF(J59="","",IFERROR(_xlfn.AGGREGATE(15,6,ROW('Motivos detalle'!$C$2:$C$274)/(('Motivos detalle'!$C$2:$C$274="ENTRA")*('Motivos detalle'!$B$2:$B$274=C59)*(ROW('Motivos detalle'!$C$2:$C$274)&gt;J59)),1),""))</f>
        <v>122</v>
      </c>
      <c r="V59" s="17" cm="1">
        <f t="array" ref="V59">IF(U59="","",INDEX('Motivos detalle'!$A:$A,U59))</f>
        <v>44301</v>
      </c>
      <c r="W59">
        <f t="shared" si="6"/>
        <v>42</v>
      </c>
      <c r="X59" s="19" cm="1">
        <f t="array" ref="X59">IF(U59="","",INDEX('Motivos detalle'!$G:$G,U59))</f>
        <v>68.900000000000006</v>
      </c>
      <c r="Y59" t="str">
        <f>IF(W59="","No",IF(W59&lt;Parametros!$B$4,"Sí","No"))</f>
        <v>No</v>
      </c>
      <c r="Z59" s="14" t="str">
        <f t="shared" si="7"/>
        <v/>
      </c>
      <c r="AA59" t="str">
        <f>IF(F59&gt;Parametros!$B$7,"Sí","No")</f>
        <v>Sí</v>
      </c>
      <c r="AB59" s="15">
        <f>VLOOKUP(YEAR(D59),Parametros!$A$11:$B$21,2,FALSE)</f>
        <v>4.0000000000000001E-3</v>
      </c>
      <c r="AC59" t="str">
        <f t="shared" si="8"/>
        <v>Sí</v>
      </c>
      <c r="AD59" t="str">
        <f>IF(N59="ruptura piso Donchian",IF(T59&gt;-Parametros!$B$6,"Sí","No"),"")</f>
        <v>No</v>
      </c>
      <c r="AE59" s="15">
        <f>IF(J59="","",(L59*(1-Parametros!$B$32))/(G59*(1+Parametros!$B$32))-1)</f>
        <v>-1.0511459489791486E-2</v>
      </c>
      <c r="AF59" s="15">
        <f t="shared" si="9"/>
        <v>3.9658859339086749E-3</v>
      </c>
    </row>
    <row r="60" spans="1:32" x14ac:dyDescent="0.3">
      <c r="A60">
        <f t="shared" si="0"/>
        <v>57</v>
      </c>
      <c r="B60" cm="1">
        <f t="array" ref="B60">IFERROR(_xlfn.AGGREGATE(15,6,ROW('Motivos detalle'!$C$2:$C$274)/('Motivos detalle'!$C$2:$C$274="ENTRA"),A60),"")</f>
        <v>112</v>
      </c>
      <c r="C60" s="16" t="str" cm="1">
        <f t="array" ref="C60">INDEX('Motivos detalle'!$B:$B,$B60)</f>
        <v>XLY</v>
      </c>
      <c r="D60" s="17" cm="1">
        <f t="array" ref="D60">INDEX('Motivos detalle'!$A:$A,$B60)</f>
        <v>44181</v>
      </c>
      <c r="E60" s="16" cm="1">
        <f t="array" ref="E60">INDEX('Motivos detalle'!$E:$E,$B60)</f>
        <v>2</v>
      </c>
      <c r="F60" s="18" cm="1">
        <f t="array" ref="F60">INDEX('Motivos detalle'!$F:$F,$B60)</f>
        <v>0.30130000000000001</v>
      </c>
      <c r="G60" s="19" cm="1">
        <f t="array" ref="G60">INDEX('Motivos detalle'!$G:$G,$B60)</f>
        <v>76.239999999999995</v>
      </c>
      <c r="H60" s="19" cm="1">
        <f t="array" ref="H60">INDEX('Motivos detalle'!$H:$H,$B60)</f>
        <v>75.989999999999995</v>
      </c>
      <c r="I60" s="18">
        <f t="shared" si="1"/>
        <v>3.2899065666534E-3</v>
      </c>
      <c r="J60" s="16" cm="1">
        <f t="array" ref="J60">IFERROR(_xlfn.AGGREGATE(15,6,ROW('Motivos detalle'!$C$2:$C$274)/(('Motivos detalle'!$C$2:$C$274="SALE")*('Motivos detalle'!$B$2:$B$274=C60)*(ROW('Motivos detalle'!$C$2:$C$274)&gt;B60)),1),"")</f>
        <v>116</v>
      </c>
      <c r="K60" s="17" cm="1">
        <f t="array" ref="K60">IF($J60="","",INDEX('Motivos detalle'!$A:$A,$J60))</f>
        <v>44259</v>
      </c>
      <c r="L60" s="19" cm="1">
        <f t="array" ref="L60">IF($J60="","",INDEX('Motivos detalle'!$G:$G,$J60))</f>
        <v>74.540000000000006</v>
      </c>
      <c r="M60" s="19" cm="1">
        <f t="array" ref="M60">IF($J60="","",INDEX('Motivos detalle'!$H:$H,$J60))</f>
        <v>76.06</v>
      </c>
      <c r="N60" s="16" t="str" cm="1">
        <f t="array" ref="N60">IF($J60="","Abierto",INDEX('Motivos detalle'!$D:$D,$J60))</f>
        <v>ruptura piso Donchian</v>
      </c>
      <c r="O60" s="16" cm="1">
        <f t="array" ref="O60">IF($J60="","",INDEX('Motivos detalle'!$E:$E,$J60))</f>
        <v>4</v>
      </c>
      <c r="P60">
        <f t="shared" si="2"/>
        <v>78</v>
      </c>
      <c r="Q60" s="14">
        <f t="shared" si="3"/>
        <v>-2.2298006295907502E-2</v>
      </c>
      <c r="R60" t="str">
        <f t="shared" si="4"/>
        <v>Perdedor</v>
      </c>
      <c r="S60" t="str">
        <f>VLOOKUP(F60,Parametros!$A$25:$B$29,2,TRUE)</f>
        <v>Más de 30%</v>
      </c>
      <c r="T60" s="14">
        <f t="shared" si="5"/>
        <v>-1.9984222981856425E-2</v>
      </c>
      <c r="U60" cm="1">
        <f t="array" ref="U60">IF(J60="","",IFERROR(_xlfn.AGGREGATE(15,6,ROW('Motivos detalle'!$C$2:$C$274)/(('Motivos detalle'!$C$2:$C$274="ENTRA")*('Motivos detalle'!$B$2:$B$274=C60)*(ROW('Motivos detalle'!$C$2:$C$274)&gt;J60)),1),""))</f>
        <v>119</v>
      </c>
      <c r="V60" s="17" cm="1">
        <f t="array" ref="V60">IF(U60="","",INDEX('Motivos detalle'!$A:$A,U60))</f>
        <v>44291</v>
      </c>
      <c r="W60">
        <f t="shared" si="6"/>
        <v>32</v>
      </c>
      <c r="X60" s="19" cm="1">
        <f t="array" ref="X60">IF(U60="","",INDEX('Motivos detalle'!$G:$G,U60))</f>
        <v>83.02</v>
      </c>
      <c r="Y60" t="str">
        <f>IF(W60="","No",IF(W60&lt;Parametros!$B$4,"Sí","No"))</f>
        <v>No</v>
      </c>
      <c r="Z60" s="14" t="str">
        <f t="shared" si="7"/>
        <v/>
      </c>
      <c r="AA60" t="str">
        <f>IF(F60&gt;Parametros!$B$7,"Sí","No")</f>
        <v>Sí</v>
      </c>
      <c r="AB60" s="15">
        <f>VLOOKUP(YEAR(D60),Parametros!$A$11:$B$21,2,FALSE)</f>
        <v>4.0000000000000001E-3</v>
      </c>
      <c r="AC60" t="str">
        <f t="shared" si="8"/>
        <v>Sí</v>
      </c>
      <c r="AD60" t="str">
        <f>IF(N60="ruptura piso Donchian",IF(T60&gt;-Parametros!$B$6,"Sí","No"),"")</f>
        <v>No</v>
      </c>
      <c r="AE60" s="15">
        <f>IF(J60="","",(L60*(1-Parametros!$B$32))/(G60*(1+Parametros!$B$32))-1)</f>
        <v>-2.6201008266782067E-2</v>
      </c>
      <c r="AF60" s="15">
        <f t="shared" si="9"/>
        <v>3.9030019708745645E-3</v>
      </c>
    </row>
    <row r="61" spans="1:32" x14ac:dyDescent="0.3">
      <c r="A61">
        <f t="shared" si="0"/>
        <v>58</v>
      </c>
      <c r="B61" cm="1">
        <f t="array" ref="B61">IFERROR(_xlfn.AGGREGATE(15,6,ROW('Motivos detalle'!$C$2:$C$274)/('Motivos detalle'!$C$2:$C$274="ENTRA"),A61),"")</f>
        <v>114</v>
      </c>
      <c r="C61" s="16" t="str" cm="1">
        <f t="array" ref="C61">INDEX('Motivos detalle'!$B:$B,$B61)</f>
        <v>XLC</v>
      </c>
      <c r="D61" s="17" cm="1">
        <f t="array" ref="D61">INDEX('Motivos detalle'!$A:$A,$B61)</f>
        <v>44222</v>
      </c>
      <c r="E61" s="16" cm="1">
        <f t="array" ref="E61">INDEX('Motivos detalle'!$E:$E,$B61)</f>
        <v>3</v>
      </c>
      <c r="F61" s="18" cm="1">
        <f t="array" ref="F61">INDEX('Motivos detalle'!$F:$F,$B61)</f>
        <v>0.29120000000000001</v>
      </c>
      <c r="G61" s="19" cm="1">
        <f t="array" ref="G61">INDEX('Motivos detalle'!$G:$G,$B61)</f>
        <v>66.42</v>
      </c>
      <c r="H61" s="19" cm="1">
        <f t="array" ref="H61">INDEX('Motivos detalle'!$H:$H,$B61)</f>
        <v>65.88</v>
      </c>
      <c r="I61" s="18">
        <f t="shared" si="1"/>
        <v>8.19672131147553E-3</v>
      </c>
      <c r="J61" s="16" cm="1">
        <f t="array" ref="J61">IFERROR(_xlfn.AGGREGATE(15,6,ROW('Motivos detalle'!$C$2:$C$274)/(('Motivos detalle'!$C$2:$C$274="SALE")*('Motivos detalle'!$B$2:$B$274=C61)*(ROW('Motivos detalle'!$C$2:$C$274)&gt;B61)),1),"")</f>
        <v>118</v>
      </c>
      <c r="K61" s="17" cm="1">
        <f t="array" ref="K61">IF($J61="","",INDEX('Motivos detalle'!$A:$A,$J61))</f>
        <v>44273</v>
      </c>
      <c r="L61" s="19" cm="1">
        <f t="array" ref="L61">IF($J61="","",INDEX('Motivos detalle'!$G:$G,$J61))</f>
        <v>70.760000000000005</v>
      </c>
      <c r="M61" s="19" cm="1">
        <f t="array" ref="M61">IF($J61="","",INDEX('Motivos detalle'!$H:$H,$J61))</f>
        <v>66.73</v>
      </c>
      <c r="N61" s="16" t="str" cm="1">
        <f t="array" ref="N61">IF($J61="","Abierto",INDEX('Motivos detalle'!$D:$D,$J61))</f>
        <v>cae del ranking (&gt;#5)</v>
      </c>
      <c r="O61" s="16" cm="1">
        <f t="array" ref="O61">IF($J61="","",INDEX('Motivos detalle'!$E:$E,$J61))</f>
        <v>6</v>
      </c>
      <c r="P61">
        <f t="shared" si="2"/>
        <v>51</v>
      </c>
      <c r="Q61" s="14">
        <f t="shared" si="3"/>
        <v>6.5341764528756396E-2</v>
      </c>
      <c r="R61" t="str">
        <f t="shared" si="4"/>
        <v>Ganador</v>
      </c>
      <c r="S61" t="str">
        <f>VLOOKUP(F61,Parametros!$A$25:$B$29,2,TRUE)</f>
        <v>15% a 30%</v>
      </c>
      <c r="T61" s="14" t="str">
        <f t="shared" si="5"/>
        <v/>
      </c>
      <c r="U61" cm="1">
        <f t="array" ref="U61">IF(J61="","",IFERROR(_xlfn.AGGREGATE(15,6,ROW('Motivos detalle'!$C$2:$C$274)/(('Motivos detalle'!$C$2:$C$274="ENTRA")*('Motivos detalle'!$B$2:$B$274=C61)*(ROW('Motivos detalle'!$C$2:$C$274)&gt;J61)),1),""))</f>
        <v>120</v>
      </c>
      <c r="V61" s="17" cm="1">
        <f t="array" ref="V61">IF(U61="","",INDEX('Motivos detalle'!$A:$A,U61))</f>
        <v>44293</v>
      </c>
      <c r="W61">
        <f t="shared" si="6"/>
        <v>20</v>
      </c>
      <c r="X61" s="19" cm="1">
        <f t="array" ref="X61">IF(U61="","",INDEX('Motivos detalle'!$G:$G,U61))</f>
        <v>72.94</v>
      </c>
      <c r="Y61" t="str">
        <f>IF(W61="","No",IF(W61&lt;Parametros!$B$4,"Sí","No"))</f>
        <v>No</v>
      </c>
      <c r="Z61" s="14" t="str">
        <f t="shared" si="7"/>
        <v/>
      </c>
      <c r="AA61" t="str">
        <f>IF(F61&gt;Parametros!$B$7,"Sí","No")</f>
        <v>Sí</v>
      </c>
      <c r="AB61" s="15">
        <f>VLOOKUP(YEAR(D61),Parametros!$A$11:$B$21,2,FALSE)</f>
        <v>5.0000000000000001E-4</v>
      </c>
      <c r="AC61" t="str">
        <f t="shared" si="8"/>
        <v>Sí</v>
      </c>
      <c r="AD61" t="str">
        <f>IF(N61="ruptura piso Donchian",IF(T61&gt;-Parametros!$B$6,"Sí","No"),"")</f>
        <v/>
      </c>
      <c r="AE61" s="15">
        <f>IF(J61="","",(L61*(1-Parametros!$B$32))/(G61*(1+Parametros!$B$32))-1)</f>
        <v>6.1088903193312394E-2</v>
      </c>
      <c r="AF61" s="15">
        <f t="shared" si="9"/>
        <v>4.2528613354440026E-3</v>
      </c>
    </row>
    <row r="62" spans="1:32" x14ac:dyDescent="0.3">
      <c r="A62">
        <f t="shared" si="0"/>
        <v>59</v>
      </c>
      <c r="B62" cm="1">
        <f t="array" ref="B62">IFERROR(_xlfn.AGGREGATE(15,6,ROW('Motivos detalle'!$C$2:$C$274)/('Motivos detalle'!$C$2:$C$274="ENTRA"),A62),"")</f>
        <v>117</v>
      </c>
      <c r="C62" s="16" t="str" cm="1">
        <f t="array" ref="C62">INDEX('Motivos detalle'!$B:$B,$B62)</f>
        <v>XLB</v>
      </c>
      <c r="D62" s="17" cm="1">
        <f t="array" ref="D62">INDEX('Motivos detalle'!$A:$A,$B62)</f>
        <v>44265</v>
      </c>
      <c r="E62" s="16" cm="1">
        <f t="array" ref="E62">INDEX('Motivos detalle'!$E:$E,$B62)</f>
        <v>2</v>
      </c>
      <c r="F62" s="18" cm="1">
        <f t="array" ref="F62">INDEX('Motivos detalle'!$F:$F,$B62)</f>
        <v>0.58020000000000005</v>
      </c>
      <c r="G62" s="19" cm="1">
        <f t="array" ref="G62">INDEX('Motivos detalle'!$G:$G,$B62)</f>
        <v>35.049999999999997</v>
      </c>
      <c r="H62" s="19" cm="1">
        <f t="array" ref="H62">INDEX('Motivos detalle'!$H:$H,$B62)</f>
        <v>34.78</v>
      </c>
      <c r="I62" s="18">
        <f t="shared" si="1"/>
        <v>7.7630822311671732E-3</v>
      </c>
      <c r="J62" s="16" cm="1">
        <f t="array" ref="J62">IFERROR(_xlfn.AGGREGATE(15,6,ROW('Motivos detalle'!$C$2:$C$274)/(('Motivos detalle'!$C$2:$C$274="SALE")*('Motivos detalle'!$B$2:$B$274=C62)*(ROW('Motivos detalle'!$C$2:$C$274)&gt;B62)),1),"")</f>
        <v>127</v>
      </c>
      <c r="K62" s="17" cm="1">
        <f t="array" ref="K62">IF($J62="","",INDEX('Motivos detalle'!$A:$A,$J62))</f>
        <v>44361</v>
      </c>
      <c r="L62" s="19" cm="1">
        <f t="array" ref="L62">IF($J62="","",INDEX('Motivos detalle'!$G:$G,$J62))</f>
        <v>38.35</v>
      </c>
      <c r="M62" s="19" cm="1">
        <f t="array" ref="M62">IF($J62="","",INDEX('Motivos detalle'!$H:$H,$J62))</f>
        <v>38.5</v>
      </c>
      <c r="N62" s="16" t="str" cm="1">
        <f t="array" ref="N62">IF($J62="","Abierto",INDEX('Motivos detalle'!$D:$D,$J62))</f>
        <v>ruptura piso Donchian</v>
      </c>
      <c r="O62" s="16" cm="1">
        <f t="array" ref="O62">IF($J62="","",INDEX('Motivos detalle'!$E:$E,$J62))</f>
        <v>2</v>
      </c>
      <c r="P62">
        <f t="shared" si="2"/>
        <v>96</v>
      </c>
      <c r="Q62" s="14">
        <f t="shared" si="3"/>
        <v>9.4151212553495123E-2</v>
      </c>
      <c r="R62" t="str">
        <f t="shared" si="4"/>
        <v>Ganador</v>
      </c>
      <c r="S62" t="str">
        <f>VLOOKUP(F62,Parametros!$A$25:$B$29,2,TRUE)</f>
        <v>Más de 30%</v>
      </c>
      <c r="T62" s="14">
        <f t="shared" si="5"/>
        <v>-3.8961038961038419E-3</v>
      </c>
      <c r="U62" cm="1">
        <f t="array" ref="U62">IF(J62="","",IFERROR(_xlfn.AGGREGATE(15,6,ROW('Motivos detalle'!$C$2:$C$274)/(('Motivos detalle'!$C$2:$C$274="ENTRA")*('Motivos detalle'!$B$2:$B$274=C62)*(ROW('Motivos detalle'!$C$2:$C$274)&gt;J62)),1),""))</f>
        <v>134</v>
      </c>
      <c r="V62" s="17" cm="1">
        <f t="array" ref="V62">IF(U62="","",INDEX('Motivos detalle'!$A:$A,U62))</f>
        <v>44418</v>
      </c>
      <c r="W62">
        <f t="shared" si="6"/>
        <v>57</v>
      </c>
      <c r="X62" s="19" cm="1">
        <f t="array" ref="X62">IF(U62="","",INDEX('Motivos detalle'!$G:$G,U62))</f>
        <v>38.630000000000003</v>
      </c>
      <c r="Y62" t="str">
        <f>IF(W62="","No",IF(W62&lt;Parametros!$B$4,"Sí","No"))</f>
        <v>No</v>
      </c>
      <c r="Z62" s="14" t="str">
        <f t="shared" si="7"/>
        <v/>
      </c>
      <c r="AA62" t="str">
        <f>IF(F62&gt;Parametros!$B$7,"Sí","No")</f>
        <v>Sí</v>
      </c>
      <c r="AB62" s="15">
        <f>VLOOKUP(YEAR(D62),Parametros!$A$11:$B$21,2,FALSE)</f>
        <v>5.0000000000000001E-4</v>
      </c>
      <c r="AC62" t="str">
        <f t="shared" si="8"/>
        <v>Sí</v>
      </c>
      <c r="AD62" t="str">
        <f>IF(N62="ruptura piso Donchian",IF(T62&gt;-Parametros!$B$6,"Sí","No"),"")</f>
        <v>No</v>
      </c>
      <c r="AE62" s="15">
        <f>IF(J62="","",(L62*(1-Parametros!$B$32))/(G62*(1+Parametros!$B$32))-1)</f>
        <v>8.9783343441504959E-2</v>
      </c>
      <c r="AF62" s="15">
        <f t="shared" si="9"/>
        <v>4.3678691119901636E-3</v>
      </c>
    </row>
    <row r="63" spans="1:32" x14ac:dyDescent="0.3">
      <c r="A63">
        <f t="shared" si="0"/>
        <v>60</v>
      </c>
      <c r="B63" cm="1">
        <f t="array" ref="B63">IFERROR(_xlfn.AGGREGATE(15,6,ROW('Motivos detalle'!$C$2:$C$274)/('Motivos detalle'!$C$2:$C$274="ENTRA"),A63),"")</f>
        <v>119</v>
      </c>
      <c r="C63" s="16" t="str" cm="1">
        <f t="array" ref="C63">INDEX('Motivos detalle'!$B:$B,$B63)</f>
        <v>XLY</v>
      </c>
      <c r="D63" s="17" cm="1">
        <f t="array" ref="D63">INDEX('Motivos detalle'!$A:$A,$B63)</f>
        <v>44291</v>
      </c>
      <c r="E63" s="16" cm="1">
        <f t="array" ref="E63">INDEX('Motivos detalle'!$E:$E,$B63)</f>
        <v>2</v>
      </c>
      <c r="F63" s="18" cm="1">
        <f t="array" ref="F63">INDEX('Motivos detalle'!$F:$F,$B63)</f>
        <v>0.8569</v>
      </c>
      <c r="G63" s="19" cm="1">
        <f t="array" ref="G63">INDEX('Motivos detalle'!$G:$G,$B63)</f>
        <v>83.02</v>
      </c>
      <c r="H63" s="19" cm="1">
        <f t="array" ref="H63">INDEX('Motivos detalle'!$H:$H,$B63)</f>
        <v>81.42</v>
      </c>
      <c r="I63" s="18">
        <f t="shared" si="1"/>
        <v>1.9651191353475816E-2</v>
      </c>
      <c r="J63" s="16" cm="1">
        <f t="array" ref="J63">IFERROR(_xlfn.AGGREGATE(15,6,ROW('Motivos detalle'!$C$2:$C$274)/(('Motivos detalle'!$C$2:$C$274="SALE")*('Motivos detalle'!$B$2:$B$274=C63)*(ROW('Motivos detalle'!$C$2:$C$274)&gt;B63)),1),"")</f>
        <v>124</v>
      </c>
      <c r="K63" s="17" cm="1">
        <f t="array" ref="K63">IF($J63="","",INDEX('Motivos detalle'!$A:$A,$J63))</f>
        <v>44305</v>
      </c>
      <c r="L63" s="19" cm="1">
        <f t="array" ref="L63">IF($J63="","",INDEX('Motivos detalle'!$G:$G,$J63))</f>
        <v>85.21</v>
      </c>
      <c r="M63" s="19" cm="1">
        <f t="array" ref="M63">IF($J63="","",INDEX('Motivos detalle'!$H:$H,$J63))</f>
        <v>77.31</v>
      </c>
      <c r="N63" s="16" t="str" cm="1">
        <f t="array" ref="N63">IF($J63="","Abierto",INDEX('Motivos detalle'!$D:$D,$J63))</f>
        <v>cae del ranking (&gt;#5)</v>
      </c>
      <c r="O63" s="16" cm="1">
        <f t="array" ref="O63">IF($J63="","",INDEX('Motivos detalle'!$E:$E,$J63))</f>
        <v>6</v>
      </c>
      <c r="P63">
        <f t="shared" si="2"/>
        <v>14</v>
      </c>
      <c r="Q63" s="14">
        <f t="shared" si="3"/>
        <v>2.6379185738376165E-2</v>
      </c>
      <c r="R63" t="str">
        <f t="shared" si="4"/>
        <v>Ganador</v>
      </c>
      <c r="S63" t="str">
        <f>VLOOKUP(F63,Parametros!$A$25:$B$29,2,TRUE)</f>
        <v>Más de 30%</v>
      </c>
      <c r="T63" s="14" t="str">
        <f t="shared" si="5"/>
        <v/>
      </c>
      <c r="U63" cm="1">
        <f t="array" ref="U63">IF(J63="","",IFERROR(_xlfn.AGGREGATE(15,6,ROW('Motivos detalle'!$C$2:$C$274)/(('Motivos detalle'!$C$2:$C$274="ENTRA")*('Motivos detalle'!$B$2:$B$274=C63)*(ROW('Motivos detalle'!$C$2:$C$274)&gt;J63)),1),""))</f>
        <v>200</v>
      </c>
      <c r="V63" s="17" cm="1">
        <f t="array" ref="V63">IF(U63="","",INDEX('Motivos detalle'!$A:$A,U63))</f>
        <v>45244</v>
      </c>
      <c r="W63">
        <f t="shared" si="6"/>
        <v>939</v>
      </c>
      <c r="X63" s="19" cm="1">
        <f t="array" ref="X63">IF(U63="","",INDEX('Motivos detalle'!$G:$G,U63))</f>
        <v>81.900000000000006</v>
      </c>
      <c r="Y63" t="str">
        <f>IF(W63="","No",IF(W63&lt;Parametros!$B$4,"Sí","No"))</f>
        <v>No</v>
      </c>
      <c r="Z63" s="14" t="str">
        <f t="shared" si="7"/>
        <v/>
      </c>
      <c r="AA63" t="str">
        <f>IF(F63&gt;Parametros!$B$7,"Sí","No")</f>
        <v>Sí</v>
      </c>
      <c r="AB63" s="15">
        <f>VLOOKUP(YEAR(D63),Parametros!$A$11:$B$21,2,FALSE)</f>
        <v>5.0000000000000001E-4</v>
      </c>
      <c r="AC63" t="str">
        <f t="shared" si="8"/>
        <v>Sí</v>
      </c>
      <c r="AD63" t="str">
        <f>IF(N63="ruptura piso Donchian",IF(T63&gt;-Parametros!$B$6,"Sí","No"),"")</f>
        <v/>
      </c>
      <c r="AE63" s="15">
        <f>IF(J63="","",(L63*(1-Parametros!$B$32))/(G63*(1+Parametros!$B$32))-1)</f>
        <v>2.2281863639620259E-2</v>
      </c>
      <c r="AF63" s="15">
        <f t="shared" si="9"/>
        <v>4.0973220987559067E-3</v>
      </c>
    </row>
    <row r="64" spans="1:32" x14ac:dyDescent="0.3">
      <c r="A64">
        <f t="shared" si="0"/>
        <v>61</v>
      </c>
      <c r="B64" cm="1">
        <f t="array" ref="B64">IFERROR(_xlfn.AGGREGATE(15,6,ROW('Motivos detalle'!$C$2:$C$274)/('Motivos detalle'!$C$2:$C$274="ENTRA"),A64),"")</f>
        <v>120</v>
      </c>
      <c r="C64" s="16" t="str" cm="1">
        <f t="array" ref="C64">INDEX('Motivos detalle'!$B:$B,$B64)</f>
        <v>XLC</v>
      </c>
      <c r="D64" s="17" cm="1">
        <f t="array" ref="D64">INDEX('Motivos detalle'!$A:$A,$B64)</f>
        <v>44293</v>
      </c>
      <c r="E64" s="16" cm="1">
        <f t="array" ref="E64">INDEX('Motivos detalle'!$E:$E,$B64)</f>
        <v>3</v>
      </c>
      <c r="F64" s="18" cm="1">
        <f t="array" ref="F64">INDEX('Motivos detalle'!$F:$F,$B64)</f>
        <v>0.72509999999999997</v>
      </c>
      <c r="G64" s="19" cm="1">
        <f t="array" ref="G64">INDEX('Motivos detalle'!$G:$G,$B64)</f>
        <v>72.94</v>
      </c>
      <c r="H64" s="19" cm="1">
        <f t="array" ref="H64">INDEX('Motivos detalle'!$H:$H,$B64)</f>
        <v>72.599999999999994</v>
      </c>
      <c r="I64" s="18">
        <f t="shared" si="1"/>
        <v>4.683195592286582E-3</v>
      </c>
      <c r="J64" s="16" cm="1">
        <f t="array" ref="J64">IFERROR(_xlfn.AGGREGATE(15,6,ROW('Motivos detalle'!$C$2:$C$274)/(('Motivos detalle'!$C$2:$C$274="SALE")*('Motivos detalle'!$B$2:$B$274=C64)*(ROW('Motivos detalle'!$C$2:$C$274)&gt;B64)),1),"")</f>
        <v>121</v>
      </c>
      <c r="K64" s="17" cm="1">
        <f t="array" ref="K64">IF($J64="","",INDEX('Motivos detalle'!$A:$A,$J64))</f>
        <v>44301</v>
      </c>
      <c r="L64" s="19" cm="1">
        <f t="array" ref="L64">IF($J64="","",INDEX('Motivos detalle'!$G:$G,$J64))</f>
        <v>72.900000000000006</v>
      </c>
      <c r="M64" s="19" cm="1">
        <f t="array" ref="M64">IF($J64="","",INDEX('Motivos detalle'!$H:$H,$J64))</f>
        <v>67.34</v>
      </c>
      <c r="N64" s="16" t="str" cm="1">
        <f t="array" ref="N64">IF($J64="","Abierto",INDEX('Motivos detalle'!$D:$D,$J64))</f>
        <v>cae del ranking (&gt;#5)</v>
      </c>
      <c r="O64" s="16" cm="1">
        <f t="array" ref="O64">IF($J64="","",INDEX('Motivos detalle'!$E:$E,$J64))</f>
        <v>6</v>
      </c>
      <c r="P64">
        <f t="shared" si="2"/>
        <v>8</v>
      </c>
      <c r="Q64" s="14">
        <f t="shared" si="3"/>
        <v>-5.4839594186995022E-4</v>
      </c>
      <c r="R64" t="str">
        <f t="shared" si="4"/>
        <v>Perdedor</v>
      </c>
      <c r="S64" t="str">
        <f>VLOOKUP(F64,Parametros!$A$25:$B$29,2,TRUE)</f>
        <v>Más de 30%</v>
      </c>
      <c r="T64" s="14" t="str">
        <f t="shared" si="5"/>
        <v/>
      </c>
      <c r="U64" cm="1">
        <f t="array" ref="U64">IF(J64="","",IFERROR(_xlfn.AGGREGATE(15,6,ROW('Motivos detalle'!$C$2:$C$274)/(('Motivos detalle'!$C$2:$C$274="ENTRA")*('Motivos detalle'!$B$2:$B$274=C64)*(ROW('Motivos detalle'!$C$2:$C$274)&gt;J64)),1),""))</f>
        <v>130</v>
      </c>
      <c r="V64" s="17" cm="1">
        <f t="array" ref="V64">IF(U64="","",INDEX('Motivos detalle'!$A:$A,U64))</f>
        <v>44375</v>
      </c>
      <c r="W64">
        <f t="shared" si="6"/>
        <v>74</v>
      </c>
      <c r="X64" s="19" cm="1">
        <f t="array" ref="X64">IF(U64="","",INDEX('Motivos detalle'!$G:$G,U64))</f>
        <v>77.47</v>
      </c>
      <c r="Y64" t="str">
        <f>IF(W64="","No",IF(W64&lt;Parametros!$B$4,"Sí","No"))</f>
        <v>No</v>
      </c>
      <c r="Z64" s="14" t="str">
        <f t="shared" si="7"/>
        <v/>
      </c>
      <c r="AA64" t="str">
        <f>IF(F64&gt;Parametros!$B$7,"Sí","No")</f>
        <v>Sí</v>
      </c>
      <c r="AB64" s="15">
        <f>VLOOKUP(YEAR(D64),Parametros!$A$11:$B$21,2,FALSE)</f>
        <v>5.0000000000000001E-4</v>
      </c>
      <c r="AC64" t="str">
        <f t="shared" si="8"/>
        <v>Sí</v>
      </c>
      <c r="AD64" t="str">
        <f>IF(N64="ruptura piso Donchian",IF(T64&gt;-Parametros!$B$6,"Sí","No"),"")</f>
        <v/>
      </c>
      <c r="AE64" s="15">
        <f>IF(J64="","",(L64*(1-Parametros!$B$32))/(G64*(1+Parametros!$B$32))-1)</f>
        <v>-4.538222704577044E-3</v>
      </c>
      <c r="AF64" s="15">
        <f t="shared" si="9"/>
        <v>3.9898267627070938E-3</v>
      </c>
    </row>
    <row r="65" spans="1:32" x14ac:dyDescent="0.3">
      <c r="A65">
        <f t="shared" si="0"/>
        <v>62</v>
      </c>
      <c r="B65" cm="1">
        <f t="array" ref="B65">IFERROR(_xlfn.AGGREGATE(15,6,ROW('Motivos detalle'!$C$2:$C$274)/('Motivos detalle'!$C$2:$C$274="ENTRA"),A65),"")</f>
        <v>122</v>
      </c>
      <c r="C65" s="16" t="str" cm="1">
        <f t="array" ref="C65">INDEX('Motivos detalle'!$B:$B,$B65)</f>
        <v>XLK</v>
      </c>
      <c r="D65" s="17" cm="1">
        <f t="array" ref="D65">INDEX('Motivos detalle'!$A:$A,$B65)</f>
        <v>44301</v>
      </c>
      <c r="E65" s="16" cm="1">
        <f t="array" ref="E65">INDEX('Motivos detalle'!$E:$E,$B65)</f>
        <v>3</v>
      </c>
      <c r="F65" s="18" cm="1">
        <f t="array" ref="F65">INDEX('Motivos detalle'!$F:$F,$B65)</f>
        <v>0.66249999999999998</v>
      </c>
      <c r="G65" s="19" cm="1">
        <f t="array" ref="G65">INDEX('Motivos detalle'!$G:$G,$B65)</f>
        <v>68.900000000000006</v>
      </c>
      <c r="H65" s="19" cm="1">
        <f t="array" ref="H65">INDEX('Motivos detalle'!$H:$H,$B65)</f>
        <v>68.510000000000005</v>
      </c>
      <c r="I65" s="18">
        <f t="shared" si="1"/>
        <v>5.6925996204932883E-3</v>
      </c>
      <c r="J65" s="16" cm="1">
        <f t="array" ref="J65">IFERROR(_xlfn.AGGREGATE(15,6,ROW('Motivos detalle'!$C$2:$C$274)/(('Motivos detalle'!$C$2:$C$274="SALE")*('Motivos detalle'!$B$2:$B$274=C65)*(ROW('Motivos detalle'!$C$2:$C$274)&gt;B65)),1),"")</f>
        <v>123</v>
      </c>
      <c r="K65" s="17" cm="1">
        <f t="array" ref="K65">IF($J65="","",INDEX('Motivos detalle'!$A:$A,$J65))</f>
        <v>44302</v>
      </c>
      <c r="L65" s="19" cm="1">
        <f t="array" ref="L65">IF($J65="","",INDEX('Motivos detalle'!$G:$G,$J65))</f>
        <v>68.88</v>
      </c>
      <c r="M65" s="19" cm="1">
        <f t="array" ref="M65">IF($J65="","",INDEX('Motivos detalle'!$H:$H,$J65))</f>
        <v>61.39</v>
      </c>
      <c r="N65" s="16" t="str" cm="1">
        <f t="array" ref="N65">IF($J65="","Abierto",INDEX('Motivos detalle'!$D:$D,$J65))</f>
        <v>cae del ranking (&gt;#5)</v>
      </c>
      <c r="O65" s="16" cm="1">
        <f t="array" ref="O65">IF($J65="","",INDEX('Motivos detalle'!$E:$E,$J65))</f>
        <v>6</v>
      </c>
      <c r="P65">
        <f t="shared" si="2"/>
        <v>1</v>
      </c>
      <c r="Q65" s="14">
        <f t="shared" si="3"/>
        <v>-2.9027576197404592E-4</v>
      </c>
      <c r="R65" t="str">
        <f t="shared" si="4"/>
        <v>Perdedor</v>
      </c>
      <c r="S65" t="str">
        <f>VLOOKUP(F65,Parametros!$A$25:$B$29,2,TRUE)</f>
        <v>Más de 30%</v>
      </c>
      <c r="T65" s="14" t="str">
        <f t="shared" si="5"/>
        <v/>
      </c>
      <c r="U65" cm="1">
        <f t="array" ref="U65">IF(J65="","",IFERROR(_xlfn.AGGREGATE(15,6,ROW('Motivos detalle'!$C$2:$C$274)/(('Motivos detalle'!$C$2:$C$274="ENTRA")*('Motivos detalle'!$B$2:$B$274=C65)*(ROW('Motivos detalle'!$C$2:$C$274)&gt;J65)),1),""))</f>
        <v>131</v>
      </c>
      <c r="V65" s="17" cm="1">
        <f t="array" ref="V65">IF(U65="","",INDEX('Motivos detalle'!$A:$A,U65))</f>
        <v>44400</v>
      </c>
      <c r="W65">
        <f t="shared" si="6"/>
        <v>98</v>
      </c>
      <c r="X65" s="19" cm="1">
        <f t="array" ref="X65">IF(U65="","",INDEX('Motivos detalle'!$G:$G,U65))</f>
        <v>74.41</v>
      </c>
      <c r="Y65" t="str">
        <f>IF(W65="","No",IF(W65&lt;Parametros!$B$4,"Sí","No"))</f>
        <v>No</v>
      </c>
      <c r="Z65" s="14" t="str">
        <f t="shared" si="7"/>
        <v/>
      </c>
      <c r="AA65" t="str">
        <f>IF(F65&gt;Parametros!$B$7,"Sí","No")</f>
        <v>Sí</v>
      </c>
      <c r="AB65" s="15">
        <f>VLOOKUP(YEAR(D65),Parametros!$A$11:$B$21,2,FALSE)</f>
        <v>5.0000000000000001E-4</v>
      </c>
      <c r="AC65" t="str">
        <f t="shared" si="8"/>
        <v>Sí</v>
      </c>
      <c r="AD65" t="str">
        <f>IF(N65="ruptura piso Donchian",IF(T65&gt;-Parametros!$B$6,"Sí","No"),"")</f>
        <v/>
      </c>
      <c r="AE65" s="15">
        <f>IF(J65="","",(L65*(1-Parametros!$B$32))/(G65*(1+Parametros!$B$32))-1)</f>
        <v>-4.2811329445608948E-3</v>
      </c>
      <c r="AF65" s="15">
        <f t="shared" si="9"/>
        <v>3.9908571825868489E-3</v>
      </c>
    </row>
    <row r="66" spans="1:32" x14ac:dyDescent="0.3">
      <c r="A66">
        <f t="shared" si="0"/>
        <v>63</v>
      </c>
      <c r="B66" cm="1">
        <f t="array" ref="B66">IFERROR(_xlfn.AGGREGATE(15,6,ROW('Motivos detalle'!$C$2:$C$274)/('Motivos detalle'!$C$2:$C$274="ENTRA"),A66),"")</f>
        <v>125</v>
      </c>
      <c r="C66" s="16" t="str" cm="1">
        <f t="array" ref="C66">INDEX('Motivos detalle'!$B:$B,$B66)</f>
        <v>XLF</v>
      </c>
      <c r="D66" s="17" cm="1">
        <f t="array" ref="D66">INDEX('Motivos detalle'!$A:$A,$B66)</f>
        <v>44315</v>
      </c>
      <c r="E66" s="16" cm="1">
        <f t="array" ref="E66">INDEX('Motivos detalle'!$E:$E,$B66)</f>
        <v>2</v>
      </c>
      <c r="F66" s="18" cm="1">
        <f t="array" ref="F66">INDEX('Motivos detalle'!$F:$F,$B66)</f>
        <v>0.5988</v>
      </c>
      <c r="G66" s="19" cm="1">
        <f t="array" ref="G66">INDEX('Motivos detalle'!$G:$G,$B66)</f>
        <v>33.409999999999997</v>
      </c>
      <c r="H66" s="19" cm="1">
        <f t="array" ref="H66">INDEX('Motivos detalle'!$H:$H,$B66)</f>
        <v>32.92</v>
      </c>
      <c r="I66" s="18">
        <f t="shared" si="1"/>
        <v>1.4884568651275742E-2</v>
      </c>
      <c r="J66" s="16" cm="1">
        <f t="array" ref="J66">IFERROR(_xlfn.AGGREGATE(15,6,ROW('Motivos detalle'!$C$2:$C$274)/(('Motivos detalle'!$C$2:$C$274="SALE")*('Motivos detalle'!$B$2:$B$274=C66)*(ROW('Motivos detalle'!$C$2:$C$274)&gt;B66)),1),"")</f>
        <v>128</v>
      </c>
      <c r="K66" s="17" cm="1">
        <f t="array" ref="K66">IF($J66="","",INDEX('Motivos detalle'!$A:$A,$J66))</f>
        <v>44364</v>
      </c>
      <c r="L66" s="19" cm="1">
        <f t="array" ref="L66">IF($J66="","",INDEX('Motivos detalle'!$G:$G,$J66))</f>
        <v>32.97</v>
      </c>
      <c r="M66" s="19" cm="1">
        <f t="array" ref="M66">IF($J66="","",INDEX('Motivos detalle'!$H:$H,$J66))</f>
        <v>33.42</v>
      </c>
      <c r="N66" s="16" t="str" cm="1">
        <f t="array" ref="N66">IF($J66="","Abierto",INDEX('Motivos detalle'!$D:$D,$J66))</f>
        <v>ruptura piso Donchian</v>
      </c>
      <c r="O66" s="16" cm="1">
        <f t="array" ref="O66">IF($J66="","",INDEX('Motivos detalle'!$E:$E,$J66))</f>
        <v>1</v>
      </c>
      <c r="P66">
        <f t="shared" si="2"/>
        <v>49</v>
      </c>
      <c r="Q66" s="14">
        <f t="shared" si="3"/>
        <v>-1.3169709667764096E-2</v>
      </c>
      <c r="R66" t="str">
        <f t="shared" si="4"/>
        <v>Perdedor</v>
      </c>
      <c r="S66" t="str">
        <f>VLOOKUP(F66,Parametros!$A$25:$B$29,2,TRUE)</f>
        <v>Más de 30%</v>
      </c>
      <c r="T66" s="14">
        <f t="shared" si="5"/>
        <v>-1.3464991023339423E-2</v>
      </c>
      <c r="U66" cm="1">
        <f t="array" ref="U66">IF(J66="","",IFERROR(_xlfn.AGGREGATE(15,6,ROW('Motivos detalle'!$C$2:$C$274)/(('Motivos detalle'!$C$2:$C$274="ENTRA")*('Motivos detalle'!$B$2:$B$274=C66)*(ROW('Motivos detalle'!$C$2:$C$274)&gt;J66)),1),""))</f>
        <v>133</v>
      </c>
      <c r="V66" s="17" cm="1">
        <f t="array" ref="V66">IF(U66="","",INDEX('Motivos detalle'!$A:$A,U66))</f>
        <v>44414</v>
      </c>
      <c r="W66">
        <f t="shared" si="6"/>
        <v>50</v>
      </c>
      <c r="X66" s="19" cm="1">
        <f t="array" ref="X66">IF(U66="","",INDEX('Motivos detalle'!$G:$G,U66))</f>
        <v>34.72</v>
      </c>
      <c r="Y66" t="str">
        <f>IF(W66="","No",IF(W66&lt;Parametros!$B$4,"Sí","No"))</f>
        <v>No</v>
      </c>
      <c r="Z66" s="14" t="str">
        <f t="shared" si="7"/>
        <v/>
      </c>
      <c r="AA66" t="str">
        <f>IF(F66&gt;Parametros!$B$7,"Sí","No")</f>
        <v>Sí</v>
      </c>
      <c r="AB66" s="15">
        <f>VLOOKUP(YEAR(D66),Parametros!$A$11:$B$21,2,FALSE)</f>
        <v>5.0000000000000001E-4</v>
      </c>
      <c r="AC66" t="str">
        <f t="shared" si="8"/>
        <v>Sí</v>
      </c>
      <c r="AD66" t="str">
        <f>IF(N66="ruptura piso Donchian",IF(T66&gt;-Parametros!$B$6,"Sí","No"),"")</f>
        <v>No</v>
      </c>
      <c r="AE66" s="15">
        <f>IF(J66="","",(L66*(1-Parametros!$B$32))/(G66*(1+Parametros!$B$32))-1)</f>
        <v>-1.7109151944539436E-2</v>
      </c>
      <c r="AF66" s="15">
        <f t="shared" si="9"/>
        <v>3.9394422767753401E-3</v>
      </c>
    </row>
    <row r="67" spans="1:32" x14ac:dyDescent="0.3">
      <c r="A67">
        <f t="shared" si="0"/>
        <v>64</v>
      </c>
      <c r="B67" cm="1">
        <f t="array" ref="B67">IFERROR(_xlfn.AGGREGATE(15,6,ROW('Motivos detalle'!$C$2:$C$274)/('Motivos detalle'!$C$2:$C$274="ENTRA"),A67),"")</f>
        <v>126</v>
      </c>
      <c r="C67" s="16" t="str" cm="1">
        <f t="array" ref="C67">INDEX('Motivos detalle'!$B:$B,$B67)</f>
        <v>XLI</v>
      </c>
      <c r="D67" s="17" cm="1">
        <f t="array" ref="D67">INDEX('Motivos detalle'!$A:$A,$B67)</f>
        <v>44323</v>
      </c>
      <c r="E67" s="16" cm="1">
        <f t="array" ref="E67">INDEX('Motivos detalle'!$E:$E,$B67)</f>
        <v>3</v>
      </c>
      <c r="F67" s="18" cm="1">
        <f t="array" ref="F67">INDEX('Motivos detalle'!$F:$F,$B67)</f>
        <v>0.73750000000000004</v>
      </c>
      <c r="G67" s="19" cm="1">
        <f t="array" ref="G67">INDEX('Motivos detalle'!$G:$G,$B67)</f>
        <v>97.38</v>
      </c>
      <c r="H67" s="19" cm="1">
        <f t="array" ref="H67">INDEX('Motivos detalle'!$H:$H,$B67)</f>
        <v>96.39</v>
      </c>
      <c r="I67" s="18">
        <f t="shared" si="1"/>
        <v>1.0270774976657293E-2</v>
      </c>
      <c r="J67" s="16" cm="1">
        <f t="array" ref="J67">IFERROR(_xlfn.AGGREGATE(15,6,ROW('Motivos detalle'!$C$2:$C$274)/(('Motivos detalle'!$C$2:$C$274="SALE")*('Motivos detalle'!$B$2:$B$274=C67)*(ROW('Motivos detalle'!$C$2:$C$274)&gt;B67)),1),"")</f>
        <v>129</v>
      </c>
      <c r="K67" s="17" cm="1">
        <f t="array" ref="K67">IF($J67="","",INDEX('Motivos detalle'!$A:$A,$J67))</f>
        <v>44365</v>
      </c>
      <c r="L67" s="19" cm="1">
        <f t="array" ref="L67">IF($J67="","",INDEX('Motivos detalle'!$G:$G,$J67))</f>
        <v>92.07</v>
      </c>
      <c r="M67" s="19" cm="1">
        <f t="array" ref="M67">IF($J67="","",INDEX('Motivos detalle'!$H:$H,$J67))</f>
        <v>92.41</v>
      </c>
      <c r="N67" s="16" t="str" cm="1">
        <f t="array" ref="N67">IF($J67="","Abierto",INDEX('Motivos detalle'!$D:$D,$J67))</f>
        <v>ruptura piso Donchian</v>
      </c>
      <c r="O67" s="16" cm="1">
        <f t="array" ref="O67">IF($J67="","",INDEX('Motivos detalle'!$E:$E,$J67))</f>
        <v>3</v>
      </c>
      <c r="P67">
        <f t="shared" si="2"/>
        <v>42</v>
      </c>
      <c r="Q67" s="14">
        <f t="shared" si="3"/>
        <v>-5.4528650646950116E-2</v>
      </c>
      <c r="R67" t="str">
        <f t="shared" si="4"/>
        <v>Perdedor</v>
      </c>
      <c r="S67" t="str">
        <f>VLOOKUP(F67,Parametros!$A$25:$B$29,2,TRUE)</f>
        <v>Más de 30%</v>
      </c>
      <c r="T67" s="14">
        <f t="shared" si="5"/>
        <v>-3.6792554918299025E-3</v>
      </c>
      <c r="U67" cm="1">
        <f t="array" ref="U67">IF(J67="","",IFERROR(_xlfn.AGGREGATE(15,6,ROW('Motivos detalle'!$C$2:$C$274)/(('Motivos detalle'!$C$2:$C$274="ENTRA")*('Motivos detalle'!$B$2:$B$274=C67)*(ROW('Motivos detalle'!$C$2:$C$274)&gt;J67)),1),""))</f>
        <v>188</v>
      </c>
      <c r="V67" s="17" cm="1">
        <f t="array" ref="V67">IF(U67="","",INDEX('Motivos detalle'!$A:$A,U67))</f>
        <v>45084</v>
      </c>
      <c r="W67">
        <f t="shared" si="6"/>
        <v>719</v>
      </c>
      <c r="X67" s="19" cm="1">
        <f t="array" ref="X67">IF(U67="","",INDEX('Motivos detalle'!$G:$G,U67))</f>
        <v>97.76</v>
      </c>
      <c r="Y67" t="str">
        <f>IF(W67="","No",IF(W67&lt;Parametros!$B$4,"Sí","No"))</f>
        <v>No</v>
      </c>
      <c r="Z67" s="14" t="str">
        <f t="shared" si="7"/>
        <v/>
      </c>
      <c r="AA67" t="str">
        <f>IF(F67&gt;Parametros!$B$7,"Sí","No")</f>
        <v>Sí</v>
      </c>
      <c r="AB67" s="15">
        <f>VLOOKUP(YEAR(D67),Parametros!$A$11:$B$21,2,FALSE)</f>
        <v>5.0000000000000001E-4</v>
      </c>
      <c r="AC67" t="str">
        <f t="shared" si="8"/>
        <v>Sí</v>
      </c>
      <c r="AD67" t="str">
        <f>IF(N67="ruptura piso Donchian",IF(T67&gt;-Parametros!$B$6,"Sí","No"),"")</f>
        <v>No</v>
      </c>
      <c r="AE67" s="15">
        <f>IF(J67="","",(L67*(1-Parametros!$B$32))/(G67*(1+Parametros!$B$32))-1)</f>
        <v>-5.8302987370914439E-2</v>
      </c>
      <c r="AF67" s="15">
        <f t="shared" si="9"/>
        <v>3.7743367239643222E-3</v>
      </c>
    </row>
    <row r="68" spans="1:32" x14ac:dyDescent="0.3">
      <c r="A68">
        <f t="shared" si="0"/>
        <v>65</v>
      </c>
      <c r="B68" cm="1">
        <f t="array" ref="B68">IFERROR(_xlfn.AGGREGATE(15,6,ROW('Motivos detalle'!$C$2:$C$274)/('Motivos detalle'!$C$2:$C$274="ENTRA"),A68),"")</f>
        <v>130</v>
      </c>
      <c r="C68" s="16" t="str" cm="1">
        <f t="array" ref="C68">INDEX('Motivos detalle'!$B:$B,$B68)</f>
        <v>XLC</v>
      </c>
      <c r="D68" s="17" cm="1">
        <f t="array" ref="D68">INDEX('Motivos detalle'!$A:$A,$B68)</f>
        <v>44375</v>
      </c>
      <c r="E68" s="16" cm="1">
        <f t="array" ref="E68">INDEX('Motivos detalle'!$E:$E,$B68)</f>
        <v>2</v>
      </c>
      <c r="F68" s="18" cm="1">
        <f t="array" ref="F68">INDEX('Motivos detalle'!$F:$F,$B68)</f>
        <v>0.56579999999999997</v>
      </c>
      <c r="G68" s="19" cm="1">
        <f t="array" ref="G68">INDEX('Motivos detalle'!$G:$G,$B68)</f>
        <v>77.47</v>
      </c>
      <c r="H68" s="19" cm="1">
        <f t="array" ref="H68">INDEX('Motivos detalle'!$H:$H,$B68)</f>
        <v>76.69</v>
      </c>
      <c r="I68" s="18">
        <f t="shared" si="1"/>
        <v>1.0170817577259017E-2</v>
      </c>
      <c r="J68" s="16" cm="1">
        <f t="array" ref="J68">IFERROR(_xlfn.AGGREGATE(15,6,ROW('Motivos detalle'!$C$2:$C$274)/(('Motivos detalle'!$C$2:$C$274="SALE")*('Motivos detalle'!$B$2:$B$274=C68)*(ROW('Motivos detalle'!$C$2:$C$274)&gt;B68)),1),"")</f>
        <v>135</v>
      </c>
      <c r="K68" s="17" cm="1">
        <f t="array" ref="K68">IF($J68="","",INDEX('Motivos detalle'!$A:$A,$J68))</f>
        <v>44434</v>
      </c>
      <c r="L68" s="19" cm="1">
        <f t="array" ref="L68">IF($J68="","",INDEX('Motivos detalle'!$G:$G,$J68))</f>
        <v>79.22</v>
      </c>
      <c r="M68" s="19" cm="1">
        <f t="array" ref="M68">IF($J68="","",INDEX('Motivos detalle'!$H:$H,$J68))</f>
        <v>76.849999999999994</v>
      </c>
      <c r="N68" s="16" t="str" cm="1">
        <f t="array" ref="N68">IF($J68="","Abierto",INDEX('Motivos detalle'!$D:$D,$J68))</f>
        <v>cae del ranking (&gt;#5)</v>
      </c>
      <c r="O68" s="16" cm="1">
        <f t="array" ref="O68">IF($J68="","",INDEX('Motivos detalle'!$E:$E,$J68))</f>
        <v>6</v>
      </c>
      <c r="P68">
        <f t="shared" si="2"/>
        <v>59</v>
      </c>
      <c r="Q68" s="14">
        <f t="shared" si="3"/>
        <v>2.2589389441074026E-2</v>
      </c>
      <c r="R68" t="str">
        <f t="shared" si="4"/>
        <v>Ganador</v>
      </c>
      <c r="S68" t="str">
        <f>VLOOKUP(F68,Parametros!$A$25:$B$29,2,TRUE)</f>
        <v>Más de 30%</v>
      </c>
      <c r="T68" s="14" t="str">
        <f t="shared" si="5"/>
        <v/>
      </c>
      <c r="U68" cm="1">
        <f t="array" ref="U68">IF(J68="","",IFERROR(_xlfn.AGGREGATE(15,6,ROW('Motivos detalle'!$C$2:$C$274)/(('Motivos detalle'!$C$2:$C$274="ENTRA")*('Motivos detalle'!$B$2:$B$274=C68)*(ROW('Motivos detalle'!$C$2:$C$274)&gt;J68)),1),""))</f>
        <v>186</v>
      </c>
      <c r="V68" s="17" cm="1">
        <f t="array" ref="V68">IF(U68="","",INDEX('Motivos detalle'!$A:$A,U68))</f>
        <v>45063</v>
      </c>
      <c r="W68">
        <f t="shared" si="6"/>
        <v>629</v>
      </c>
      <c r="X68" s="19" cm="1">
        <f t="array" ref="X68">IF(U68="","",INDEX('Motivos detalle'!$G:$G,U68))</f>
        <v>58.54</v>
      </c>
      <c r="Y68" t="str">
        <f>IF(W68="","No",IF(W68&lt;Parametros!$B$4,"Sí","No"))</f>
        <v>No</v>
      </c>
      <c r="Z68" s="14" t="str">
        <f t="shared" si="7"/>
        <v/>
      </c>
      <c r="AA68" t="str">
        <f>IF(F68&gt;Parametros!$B$7,"Sí","No")</f>
        <v>Sí</v>
      </c>
      <c r="AB68" s="15">
        <f>VLOOKUP(YEAR(D68),Parametros!$A$11:$B$21,2,FALSE)</f>
        <v>5.0000000000000001E-4</v>
      </c>
      <c r="AC68" t="str">
        <f t="shared" si="8"/>
        <v>Sí</v>
      </c>
      <c r="AD68" t="str">
        <f>IF(N68="ruptura piso Donchian",IF(T68&gt;-Parametros!$B$6,"Sí","No"),"")</f>
        <v/>
      </c>
      <c r="AE68" s="15">
        <f>IF(J68="","",(L68*(1-Parametros!$B$32))/(G68*(1+Parametros!$B$32))-1)</f>
        <v>1.8507196269652582E-2</v>
      </c>
      <c r="AF68" s="15">
        <f t="shared" si="9"/>
        <v>4.0821931714214443E-3</v>
      </c>
    </row>
    <row r="69" spans="1:32" x14ac:dyDescent="0.3">
      <c r="A69">
        <f t="shared" ref="A69:A132" si="10">ROW()-3</f>
        <v>66</v>
      </c>
      <c r="B69" cm="1">
        <f t="array" ref="B69">IFERROR(_xlfn.AGGREGATE(15,6,ROW('Motivos detalle'!$C$2:$C$274)/('Motivos detalle'!$C$2:$C$274="ENTRA"),A69),"")</f>
        <v>131</v>
      </c>
      <c r="C69" s="16" t="str" cm="1">
        <f t="array" ref="C69">INDEX('Motivos detalle'!$B:$B,$B69)</f>
        <v>XLK</v>
      </c>
      <c r="D69" s="17" cm="1">
        <f t="array" ref="D69">INDEX('Motivos detalle'!$A:$A,$B69)</f>
        <v>44400</v>
      </c>
      <c r="E69" s="16" cm="1">
        <f t="array" ref="E69">INDEX('Motivos detalle'!$E:$E,$B69)</f>
        <v>3</v>
      </c>
      <c r="F69" s="18" cm="1">
        <f t="array" ref="F69">INDEX('Motivos detalle'!$F:$F,$B69)</f>
        <v>0.46339999999999998</v>
      </c>
      <c r="G69" s="19" cm="1">
        <f t="array" ref="G69">INDEX('Motivos detalle'!$G:$G,$B69)</f>
        <v>74.41</v>
      </c>
      <c r="H69" s="19" cm="1">
        <f t="array" ref="H69">INDEX('Motivos detalle'!$H:$H,$B69)</f>
        <v>74.09</v>
      </c>
      <c r="I69" s="18">
        <f t="shared" ref="I69:I132" si="11">G69/H69-1</f>
        <v>4.3190713996490437E-3</v>
      </c>
      <c r="J69" s="16" cm="1">
        <f t="array" ref="J69">IFERROR(_xlfn.AGGREGATE(15,6,ROW('Motivos detalle'!$C$2:$C$274)/(('Motivos detalle'!$C$2:$C$274="SALE")*('Motivos detalle'!$B$2:$B$274=C69)*(ROW('Motivos detalle'!$C$2:$C$274)&gt;B69)),1),"")</f>
        <v>132</v>
      </c>
      <c r="K69" s="17" cm="1">
        <f t="array" ref="K69">IF($J69="","",INDEX('Motivos detalle'!$A:$A,$J69))</f>
        <v>44410</v>
      </c>
      <c r="L69" s="19" cm="1">
        <f t="array" ref="L69">IF($J69="","",INDEX('Motivos detalle'!$G:$G,$J69))</f>
        <v>73.61</v>
      </c>
      <c r="M69" s="19" cm="1">
        <f t="array" ref="M69">IF($J69="","",INDEX('Motivos detalle'!$H:$H,$J69))</f>
        <v>70.97</v>
      </c>
      <c r="N69" s="16" t="str" cm="1">
        <f t="array" ref="N69">IF($J69="","Abierto",INDEX('Motivos detalle'!$D:$D,$J69))</f>
        <v>cae del ranking (&gt;#5)</v>
      </c>
      <c r="O69" s="16" cm="1">
        <f t="array" ref="O69">IF($J69="","",INDEX('Motivos detalle'!$E:$E,$J69))</f>
        <v>6</v>
      </c>
      <c r="P69">
        <f t="shared" ref="P69:P132" si="12">IF(J69="","",K69-D69)</f>
        <v>10</v>
      </c>
      <c r="Q69" s="14">
        <f t="shared" ref="Q69:Q132" si="13">IF(J69="","",L69/G69-1)</f>
        <v>-1.0751243112484876E-2</v>
      </c>
      <c r="R69" t="str">
        <f t="shared" ref="R69:R132" si="14">IF(J69="","Abierto",IF(Q69&gt;0,"Ganador","Perdedor"))</f>
        <v>Perdedor</v>
      </c>
      <c r="S69" t="str">
        <f>VLOOKUP(F69,Parametros!$A$25:$B$29,2,TRUE)</f>
        <v>Más de 30%</v>
      </c>
      <c r="T69" s="14" t="str">
        <f t="shared" ref="T69:T132" si="15">IF(ISNUMBER(SEARCH("piso",N69)),L69/M69-1,"")</f>
        <v/>
      </c>
      <c r="U69" cm="1">
        <f t="array" ref="U69">IF(J69="","",IFERROR(_xlfn.AGGREGATE(15,6,ROW('Motivos detalle'!$C$2:$C$274)/(('Motivos detalle'!$C$2:$C$274="ENTRA")*('Motivos detalle'!$B$2:$B$274=C69)*(ROW('Motivos detalle'!$C$2:$C$274)&gt;J69)),1),""))</f>
        <v>145</v>
      </c>
      <c r="V69" s="17" cm="1">
        <f t="array" ref="V69">IF(U69="","",INDEX('Motivos detalle'!$A:$A,U69))</f>
        <v>44518</v>
      </c>
      <c r="W69">
        <f t="shared" ref="W69:W132" si="16">IF(V69="","",V69-K69)</f>
        <v>108</v>
      </c>
      <c r="X69" s="19" cm="1">
        <f t="array" ref="X69">IF(U69="","",INDEX('Motivos detalle'!$G:$G,U69))</f>
        <v>82.05</v>
      </c>
      <c r="Y69" t="str">
        <f>IF(W69="","No",IF(W69&lt;Parametros!$B$4,"Sí","No"))</f>
        <v>No</v>
      </c>
      <c r="Z69" s="14" t="str">
        <f t="shared" ref="Z69:Z132" si="17">IF(Y69="Sí",X69/L69-1,"")</f>
        <v/>
      </c>
      <c r="AA69" t="str">
        <f>IF(F69&gt;Parametros!$B$7,"Sí","No")</f>
        <v>Sí</v>
      </c>
      <c r="AB69" s="15">
        <f>VLOOKUP(YEAR(D69),Parametros!$A$11:$B$21,2,FALSE)</f>
        <v>5.0000000000000001E-4</v>
      </c>
      <c r="AC69" t="str">
        <f t="shared" ref="AC69:AC132" si="18">IF(F69&gt;AB69,"Sí","No")</f>
        <v>Sí</v>
      </c>
      <c r="AD69" t="str">
        <f>IF(N69="ruptura piso Donchian",IF(T69&gt;-Parametros!$B$6,"Sí","No"),"")</f>
        <v/>
      </c>
      <c r="AE69" s="15">
        <f>IF(J69="","",(L69*(1-Parametros!$B$32))/(G69*(1+Parametros!$B$32))-1)</f>
        <v>-1.4700339946367214E-2</v>
      </c>
      <c r="AF69" s="15">
        <f t="shared" ref="AF69:AF132" si="19">IF(J69="","",Q69-AE69)</f>
        <v>3.9490968338823373E-3</v>
      </c>
    </row>
    <row r="70" spans="1:32" x14ac:dyDescent="0.3">
      <c r="A70">
        <f t="shared" si="10"/>
        <v>67</v>
      </c>
      <c r="B70" cm="1">
        <f t="array" ref="B70">IFERROR(_xlfn.AGGREGATE(15,6,ROW('Motivos detalle'!$C$2:$C$274)/('Motivos detalle'!$C$2:$C$274="ENTRA"),A70),"")</f>
        <v>133</v>
      </c>
      <c r="C70" s="16" t="str" cm="1">
        <f t="array" ref="C70">INDEX('Motivos detalle'!$B:$B,$B70)</f>
        <v>XLF</v>
      </c>
      <c r="D70" s="17" cm="1">
        <f t="array" ref="D70">INDEX('Motivos detalle'!$A:$A,$B70)</f>
        <v>44414</v>
      </c>
      <c r="E70" s="16" cm="1">
        <f t="array" ref="E70">INDEX('Motivos detalle'!$E:$E,$B70)</f>
        <v>1</v>
      </c>
      <c r="F70" s="18" cm="1">
        <f t="array" ref="F70">INDEX('Motivos detalle'!$F:$F,$B70)</f>
        <v>0.58689999999999998</v>
      </c>
      <c r="G70" s="19" cm="1">
        <f t="array" ref="G70">INDEX('Motivos detalle'!$G:$G,$B70)</f>
        <v>34.72</v>
      </c>
      <c r="H70" s="19" cm="1">
        <f t="array" ref="H70">INDEX('Motivos detalle'!$H:$H,$B70)</f>
        <v>34.1</v>
      </c>
      <c r="I70" s="18">
        <f t="shared" si="11"/>
        <v>1.8181818181818077E-2</v>
      </c>
      <c r="J70" s="16" cm="1">
        <f t="array" ref="J70">IFERROR(_xlfn.AGGREGATE(15,6,ROW('Motivos detalle'!$C$2:$C$274)/(('Motivos detalle'!$C$2:$C$274="SALE")*('Motivos detalle'!$B$2:$B$274=C70)*(ROW('Motivos detalle'!$C$2:$C$274)&gt;B70)),1),"")</f>
        <v>139</v>
      </c>
      <c r="K70" s="17" cm="1">
        <f t="array" ref="K70">IF($J70="","",INDEX('Motivos detalle'!$A:$A,$J70))</f>
        <v>44459</v>
      </c>
      <c r="L70" s="19" cm="1">
        <f t="array" ref="L70">IF($J70="","",INDEX('Motivos detalle'!$G:$G,$J70))</f>
        <v>33.659999999999997</v>
      </c>
      <c r="M70" s="19" cm="1">
        <f t="array" ref="M70">IF($J70="","",INDEX('Motivos detalle'!$H:$H,$J70))</f>
        <v>34.22</v>
      </c>
      <c r="N70" s="16" t="str" cm="1">
        <f t="array" ref="N70">IF($J70="","Abierto",INDEX('Motivos detalle'!$D:$D,$J70))</f>
        <v>ruptura piso Donchian</v>
      </c>
      <c r="O70" s="16" cm="1">
        <f t="array" ref="O70">IF($J70="","",INDEX('Motivos detalle'!$E:$E,$J70))</f>
        <v>1</v>
      </c>
      <c r="P70">
        <f t="shared" si="12"/>
        <v>45</v>
      </c>
      <c r="Q70" s="14">
        <f t="shared" si="13"/>
        <v>-3.0529953917050712E-2</v>
      </c>
      <c r="R70" t="str">
        <f t="shared" si="14"/>
        <v>Perdedor</v>
      </c>
      <c r="S70" t="str">
        <f>VLOOKUP(F70,Parametros!$A$25:$B$29,2,TRUE)</f>
        <v>Más de 30%</v>
      </c>
      <c r="T70" s="14">
        <f t="shared" si="15"/>
        <v>-1.6364699006429007E-2</v>
      </c>
      <c r="U70" cm="1">
        <f t="array" ref="U70">IF(J70="","",IFERROR(_xlfn.AGGREGATE(15,6,ROW('Motivos detalle'!$C$2:$C$274)/(('Motivos detalle'!$C$2:$C$274="ENTRA")*('Motivos detalle'!$B$2:$B$274=C70)*(ROW('Motivos detalle'!$C$2:$C$274)&gt;J70)),1),""))</f>
        <v>141</v>
      </c>
      <c r="V70" s="17" cm="1">
        <f t="array" ref="V70">IF(U70="","",INDEX('Motivos detalle'!$A:$A,U70))</f>
        <v>44488</v>
      </c>
      <c r="W70">
        <f t="shared" si="16"/>
        <v>29</v>
      </c>
      <c r="X70" s="19" cm="1">
        <f t="array" ref="X70">IF(U70="","",INDEX('Motivos detalle'!$G:$G,U70))</f>
        <v>36.75</v>
      </c>
      <c r="Y70" t="str">
        <f>IF(W70="","No",IF(W70&lt;Parametros!$B$4,"Sí","No"))</f>
        <v>No</v>
      </c>
      <c r="Z70" s="14" t="str">
        <f t="shared" si="17"/>
        <v/>
      </c>
      <c r="AA70" t="str">
        <f>IF(F70&gt;Parametros!$B$7,"Sí","No")</f>
        <v>Sí</v>
      </c>
      <c r="AB70" s="15">
        <f>VLOOKUP(YEAR(D70),Parametros!$A$11:$B$21,2,FALSE)</f>
        <v>5.0000000000000001E-4</v>
      </c>
      <c r="AC70" t="str">
        <f t="shared" si="18"/>
        <v>Sí</v>
      </c>
      <c r="AD70" t="str">
        <f>IF(N70="ruptura piso Donchian",IF(T70&gt;-Parametros!$B$6,"Sí","No"),"")</f>
        <v>No</v>
      </c>
      <c r="AE70" s="15">
        <f>IF(J70="","",(L70*(1-Parametros!$B$32))/(G70*(1+Parametros!$B$32))-1)</f>
        <v>-3.4400093821573607E-2</v>
      </c>
      <c r="AF70" s="15">
        <f t="shared" si="19"/>
        <v>3.8701399045228957E-3</v>
      </c>
    </row>
    <row r="71" spans="1:32" x14ac:dyDescent="0.3">
      <c r="A71">
        <f t="shared" si="10"/>
        <v>68</v>
      </c>
      <c r="B71" cm="1">
        <f t="array" ref="B71">IFERROR(_xlfn.AGGREGATE(15,6,ROW('Motivos detalle'!$C$2:$C$274)/('Motivos detalle'!$C$2:$C$274="ENTRA"),A71),"")</f>
        <v>134</v>
      </c>
      <c r="C71" s="16" t="str" cm="1">
        <f t="array" ref="C71">INDEX('Motivos detalle'!$B:$B,$B71)</f>
        <v>XLB</v>
      </c>
      <c r="D71" s="17" cm="1">
        <f t="array" ref="D71">INDEX('Motivos detalle'!$A:$A,$B71)</f>
        <v>44418</v>
      </c>
      <c r="E71" s="16" cm="1">
        <f t="array" ref="E71">INDEX('Motivos detalle'!$E:$E,$B71)</f>
        <v>3</v>
      </c>
      <c r="F71" s="18" cm="1">
        <f t="array" ref="F71">INDEX('Motivos detalle'!$F:$F,$B71)</f>
        <v>0.39429999999999998</v>
      </c>
      <c r="G71" s="19" cm="1">
        <f t="array" ref="G71">INDEX('Motivos detalle'!$G:$G,$B71)</f>
        <v>38.630000000000003</v>
      </c>
      <c r="H71" s="19" cm="1">
        <f t="array" ref="H71">INDEX('Motivos detalle'!$H:$H,$B71)</f>
        <v>38.450000000000003</v>
      </c>
      <c r="I71" s="18">
        <f t="shared" si="11"/>
        <v>4.6814044213263628E-3</v>
      </c>
      <c r="J71" s="16" cm="1">
        <f t="array" ref="J71">IFERROR(_xlfn.AGGREGATE(15,6,ROW('Motivos detalle'!$C$2:$C$274)/(('Motivos detalle'!$C$2:$C$274="SALE")*('Motivos detalle'!$B$2:$B$274=C71)*(ROW('Motivos detalle'!$C$2:$C$274)&gt;B71)),1),"")</f>
        <v>136</v>
      </c>
      <c r="K71" s="17" cm="1">
        <f t="array" ref="K71">IF($J71="","",INDEX('Motivos detalle'!$A:$A,$J71))</f>
        <v>44440</v>
      </c>
      <c r="L71" s="19" cm="1">
        <f t="array" ref="L71">IF($J71="","",INDEX('Motivos detalle'!$G:$G,$J71))</f>
        <v>38.67</v>
      </c>
      <c r="M71" s="19" cm="1">
        <f t="array" ref="M71">IF($J71="","",INDEX('Motivos detalle'!$H:$H,$J71))</f>
        <v>37.51</v>
      </c>
      <c r="N71" s="16" t="str" cm="1">
        <f t="array" ref="N71">IF($J71="","Abierto",INDEX('Motivos detalle'!$D:$D,$J71))</f>
        <v>cae del ranking (&gt;#5)</v>
      </c>
      <c r="O71" s="16" cm="1">
        <f t="array" ref="O71">IF($J71="","",INDEX('Motivos detalle'!$E:$E,$J71))</f>
        <v>6</v>
      </c>
      <c r="P71">
        <f t="shared" si="12"/>
        <v>22</v>
      </c>
      <c r="Q71" s="14">
        <f t="shared" si="13"/>
        <v>1.0354646647683374E-3</v>
      </c>
      <c r="R71" t="str">
        <f t="shared" si="14"/>
        <v>Ganador</v>
      </c>
      <c r="S71" t="str">
        <f>VLOOKUP(F71,Parametros!$A$25:$B$29,2,TRUE)</f>
        <v>Más de 30%</v>
      </c>
      <c r="T71" s="14" t="str">
        <f t="shared" si="15"/>
        <v/>
      </c>
      <c r="U71" cm="1">
        <f t="array" ref="U71">IF(J71="","",IFERROR(_xlfn.AGGREGATE(15,6,ROW('Motivos detalle'!$C$2:$C$274)/(('Motivos detalle'!$C$2:$C$274="ENTRA")*('Motivos detalle'!$B$2:$B$274=C71)*(ROW('Motivos detalle'!$C$2:$C$274)&gt;J71)),1),""))</f>
        <v>179</v>
      </c>
      <c r="V71" s="17" cm="1">
        <f t="array" ref="V71">IF(U71="","",INDEX('Motivos detalle'!$A:$A,U71))</f>
        <v>44957</v>
      </c>
      <c r="W71">
        <f t="shared" si="16"/>
        <v>517</v>
      </c>
      <c r="X71" s="19" cm="1">
        <f t="array" ref="X71">IF(U71="","",INDEX('Motivos detalle'!$G:$G,U71))</f>
        <v>39.590000000000003</v>
      </c>
      <c r="Y71" t="str">
        <f>IF(W71="","No",IF(W71&lt;Parametros!$B$4,"Sí","No"))</f>
        <v>No</v>
      </c>
      <c r="Z71" s="14" t="str">
        <f t="shared" si="17"/>
        <v/>
      </c>
      <c r="AA71" t="str">
        <f>IF(F71&gt;Parametros!$B$7,"Sí","No")</f>
        <v>Sí</v>
      </c>
      <c r="AB71" s="15">
        <f>VLOOKUP(YEAR(D71),Parametros!$A$11:$B$21,2,FALSE)</f>
        <v>5.0000000000000001E-4</v>
      </c>
      <c r="AC71" t="str">
        <f t="shared" si="18"/>
        <v>Sí</v>
      </c>
      <c r="AD71" t="str">
        <f>IF(N71="ruptura piso Donchian",IF(T71&gt;-Parametros!$B$6,"Sí","No"),"")</f>
        <v/>
      </c>
      <c r="AE71" s="15">
        <f>IF(J71="","",(L71*(1-Parametros!$B$32))/(G71*(1+Parametros!$B$32))-1)</f>
        <v>-2.9606848947717479E-3</v>
      </c>
      <c r="AF71" s="15">
        <f t="shared" si="19"/>
        <v>3.9961495595400853E-3</v>
      </c>
    </row>
    <row r="72" spans="1:32" x14ac:dyDescent="0.3">
      <c r="A72">
        <f t="shared" si="10"/>
        <v>69</v>
      </c>
      <c r="B72" cm="1">
        <f t="array" ref="B72">IFERROR(_xlfn.AGGREGATE(15,6,ROW('Motivos detalle'!$C$2:$C$274)/('Motivos detalle'!$C$2:$C$274="ENTRA"),A72),"")</f>
        <v>137</v>
      </c>
      <c r="C72" s="16" t="str" cm="1">
        <f t="array" ref="C72">INDEX('Motivos detalle'!$B:$B,$B72)</f>
        <v>XLRE</v>
      </c>
      <c r="D72" s="17" cm="1">
        <f t="array" ref="D72">INDEX('Motivos detalle'!$A:$A,$B72)</f>
        <v>44440</v>
      </c>
      <c r="E72" s="16" cm="1">
        <f t="array" ref="E72">INDEX('Motivos detalle'!$E:$E,$B72)</f>
        <v>3</v>
      </c>
      <c r="F72" s="18" cm="1">
        <f t="array" ref="F72">INDEX('Motivos detalle'!$F:$F,$B72)</f>
        <v>0.38819999999999999</v>
      </c>
      <c r="G72" s="19" cm="1">
        <f t="array" ref="G72">INDEX('Motivos detalle'!$G:$G,$B72)</f>
        <v>41.03</v>
      </c>
      <c r="H72" s="19" cm="1">
        <f t="array" ref="H72">INDEX('Motivos detalle'!$H:$H,$B72)</f>
        <v>40.39</v>
      </c>
      <c r="I72" s="18">
        <f t="shared" si="11"/>
        <v>1.5845506313443947E-2</v>
      </c>
      <c r="J72" s="16" cm="1">
        <f t="array" ref="J72">IFERROR(_xlfn.AGGREGATE(15,6,ROW('Motivos detalle'!$C$2:$C$274)/(('Motivos detalle'!$C$2:$C$274="SALE")*('Motivos detalle'!$B$2:$B$274=C72)*(ROW('Motivos detalle'!$C$2:$C$274)&gt;B72)),1),"")</f>
        <v>140</v>
      </c>
      <c r="K72" s="17" cm="1">
        <f t="array" ref="K72">IF($J72="","",INDEX('Motivos detalle'!$A:$A,$J72))</f>
        <v>44466</v>
      </c>
      <c r="L72" s="19" cm="1">
        <f t="array" ref="L72">IF($J72="","",INDEX('Motivos detalle'!$G:$G,$J72))</f>
        <v>38.409999999999997</v>
      </c>
      <c r="M72" s="19" cm="1">
        <f t="array" ref="M72">IF($J72="","",INDEX('Motivos detalle'!$H:$H,$J72))</f>
        <v>38.9</v>
      </c>
      <c r="N72" s="16" t="str" cm="1">
        <f t="array" ref="N72">IF($J72="","Abierto",INDEX('Motivos detalle'!$D:$D,$J72))</f>
        <v>ruptura piso Donchian</v>
      </c>
      <c r="O72" s="16" cm="1">
        <f t="array" ref="O72">IF($J72="","",INDEX('Motivos detalle'!$E:$E,$J72))</f>
        <v>5</v>
      </c>
      <c r="P72">
        <f t="shared" si="12"/>
        <v>26</v>
      </c>
      <c r="Q72" s="14">
        <f t="shared" si="13"/>
        <v>-6.3855715330246254E-2</v>
      </c>
      <c r="R72" t="str">
        <f t="shared" si="14"/>
        <v>Perdedor</v>
      </c>
      <c r="S72" t="str">
        <f>VLOOKUP(F72,Parametros!$A$25:$B$29,2,TRUE)</f>
        <v>Más de 30%</v>
      </c>
      <c r="T72" s="14">
        <f t="shared" si="15"/>
        <v>-1.2596401028277637E-2</v>
      </c>
      <c r="U72" cm="1">
        <f t="array" ref="U72">IF(J72="","",IFERROR(_xlfn.AGGREGATE(15,6,ROW('Motivos detalle'!$C$2:$C$274)/(('Motivos detalle'!$C$2:$C$274="ENTRA")*('Motivos detalle'!$B$2:$B$274=C72)*(ROW('Motivos detalle'!$C$2:$C$274)&gt;J72)),1),""))</f>
        <v>142</v>
      </c>
      <c r="V72" s="17" cm="1">
        <f t="array" ref="V72">IF(U72="","",INDEX('Motivos detalle'!$A:$A,U72))</f>
        <v>44491</v>
      </c>
      <c r="W72">
        <f t="shared" si="16"/>
        <v>25</v>
      </c>
      <c r="X72" s="19" cm="1">
        <f t="array" ref="X72">IF(U72="","",INDEX('Motivos detalle'!$G:$G,U72))</f>
        <v>40.57</v>
      </c>
      <c r="Y72" t="str">
        <f>IF(W72="","No",IF(W72&lt;Parametros!$B$4,"Sí","No"))</f>
        <v>No</v>
      </c>
      <c r="Z72" s="14" t="str">
        <f t="shared" si="17"/>
        <v/>
      </c>
      <c r="AA72" t="str">
        <f>IF(F72&gt;Parametros!$B$7,"Sí","No")</f>
        <v>Sí</v>
      </c>
      <c r="AB72" s="15">
        <f>VLOOKUP(YEAR(D72),Parametros!$A$11:$B$21,2,FALSE)</f>
        <v>5.0000000000000001E-4</v>
      </c>
      <c r="AC72" t="str">
        <f t="shared" si="18"/>
        <v>Sí</v>
      </c>
      <c r="AD72" t="str">
        <f>IF(N72="ruptura piso Donchian",IF(T72&gt;-Parametros!$B$6,"Sí","No"),"")</f>
        <v>No</v>
      </c>
      <c r="AE72" s="15">
        <f>IF(J72="","",(L72*(1-Parametros!$B$32))/(G72*(1+Parametros!$B$32))-1)</f>
        <v>-6.7592818263059518E-2</v>
      </c>
      <c r="AF72" s="15">
        <f t="shared" si="19"/>
        <v>3.7371029328132632E-3</v>
      </c>
    </row>
    <row r="73" spans="1:32" x14ac:dyDescent="0.3">
      <c r="A73">
        <f t="shared" si="10"/>
        <v>70</v>
      </c>
      <c r="B73" cm="1">
        <f t="array" ref="B73">IFERROR(_xlfn.AGGREGATE(15,6,ROW('Motivos detalle'!$C$2:$C$274)/('Motivos detalle'!$C$2:$C$274="ENTRA"),A73),"")</f>
        <v>138</v>
      </c>
      <c r="C73" s="16" t="str" cm="1">
        <f t="array" ref="C73">INDEX('Motivos detalle'!$B:$B,$B73)</f>
        <v>XLE</v>
      </c>
      <c r="D73" s="17" cm="1">
        <f t="array" ref="D73">INDEX('Motivos detalle'!$A:$A,$B73)</f>
        <v>44454</v>
      </c>
      <c r="E73" s="16" cm="1">
        <f t="array" ref="E73">INDEX('Motivos detalle'!$E:$E,$B73)</f>
        <v>1</v>
      </c>
      <c r="F73" s="18" cm="1">
        <f t="array" ref="F73">INDEX('Motivos detalle'!$F:$F,$B73)</f>
        <v>0.61980000000000002</v>
      </c>
      <c r="G73" s="19" cm="1">
        <f t="array" ref="G73">INDEX('Motivos detalle'!$G:$G,$B73)</f>
        <v>20.95</v>
      </c>
      <c r="H73" s="19" cm="1">
        <f t="array" ref="H73">INDEX('Motivos detalle'!$H:$H,$B73)</f>
        <v>20.71</v>
      </c>
      <c r="I73" s="18">
        <f t="shared" si="11"/>
        <v>1.1588604538870007E-2</v>
      </c>
      <c r="J73" s="16" cm="1">
        <f t="array" ref="J73">IFERROR(_xlfn.AGGREGATE(15,6,ROW('Motivos detalle'!$C$2:$C$274)/(('Motivos detalle'!$C$2:$C$274="SALE")*('Motivos detalle'!$B$2:$B$274=C73)*(ROW('Motivos detalle'!$C$2:$C$274)&gt;B73)),1),"")</f>
        <v>144</v>
      </c>
      <c r="K73" s="17" cm="1">
        <f t="array" ref="K73">IF($J73="","",INDEX('Motivos detalle'!$A:$A,$J73))</f>
        <v>44518</v>
      </c>
      <c r="L73" s="19" cm="1">
        <f t="array" ref="L73">IF($J73="","",INDEX('Motivos detalle'!$G:$G,$J73))</f>
        <v>24</v>
      </c>
      <c r="M73" s="19" cm="1">
        <f t="array" ref="M73">IF($J73="","",INDEX('Motivos detalle'!$H:$H,$J73))</f>
        <v>24.02</v>
      </c>
      <c r="N73" s="16" t="str" cm="1">
        <f t="array" ref="N73">IF($J73="","Abierto",INDEX('Motivos detalle'!$D:$D,$J73))</f>
        <v>ruptura piso Donchian</v>
      </c>
      <c r="O73" s="16" cm="1">
        <f t="array" ref="O73">IF($J73="","",INDEX('Motivos detalle'!$E:$E,$J73))</f>
        <v>1</v>
      </c>
      <c r="P73">
        <f t="shared" si="12"/>
        <v>64</v>
      </c>
      <c r="Q73" s="14">
        <f t="shared" si="13"/>
        <v>0.14558472553699287</v>
      </c>
      <c r="R73" t="str">
        <f t="shared" si="14"/>
        <v>Ganador</v>
      </c>
      <c r="S73" t="str">
        <f>VLOOKUP(F73,Parametros!$A$25:$B$29,2,TRUE)</f>
        <v>Más de 30%</v>
      </c>
      <c r="T73" s="14">
        <f t="shared" si="15"/>
        <v>-8.3263946711076287E-4</v>
      </c>
      <c r="U73" cm="1">
        <f t="array" ref="U73">IF(J73="","",IFERROR(_xlfn.AGGREGATE(15,6,ROW('Motivos detalle'!$C$2:$C$274)/(('Motivos detalle'!$C$2:$C$274="ENTRA")*('Motivos detalle'!$B$2:$B$274=C73)*(ROW('Motivos detalle'!$C$2:$C$274)&gt;J73)),1),""))</f>
        <v>148</v>
      </c>
      <c r="V73" s="17" cm="1">
        <f t="array" ref="V73">IF(U73="","",INDEX('Motivos detalle'!$A:$A,U73))</f>
        <v>44565</v>
      </c>
      <c r="W73">
        <f t="shared" si="16"/>
        <v>47</v>
      </c>
      <c r="X73" s="19" cm="1">
        <f t="array" ref="X73">IF(U73="","",INDEX('Motivos detalle'!$G:$G,U73))</f>
        <v>25.3</v>
      </c>
      <c r="Y73" t="str">
        <f>IF(W73="","No",IF(W73&lt;Parametros!$B$4,"Sí","No"))</f>
        <v>No</v>
      </c>
      <c r="Z73" s="14" t="str">
        <f t="shared" si="17"/>
        <v/>
      </c>
      <c r="AA73" t="str">
        <f>IF(F73&gt;Parametros!$B$7,"Sí","No")</f>
        <v>Sí</v>
      </c>
      <c r="AB73" s="15">
        <f>VLOOKUP(YEAR(D73),Parametros!$A$11:$B$21,2,FALSE)</f>
        <v>5.0000000000000001E-4</v>
      </c>
      <c r="AC73" t="str">
        <f t="shared" si="18"/>
        <v>Sí</v>
      </c>
      <c r="AD73" t="str">
        <f>IF(N73="ruptura piso Donchian",IF(T73&gt;-Parametros!$B$6,"Sí","No"),"")</f>
        <v>Sí</v>
      </c>
      <c r="AE73" s="15">
        <f>IF(J73="","",(L73*(1-Parametros!$B$32))/(G73*(1+Parametros!$B$32))-1)</f>
        <v>0.14101153301987912</v>
      </c>
      <c r="AF73" s="15">
        <f t="shared" si="19"/>
        <v>4.5731925171137444E-3</v>
      </c>
    </row>
    <row r="74" spans="1:32" x14ac:dyDescent="0.3">
      <c r="A74">
        <f t="shared" si="10"/>
        <v>71</v>
      </c>
      <c r="B74" cm="1">
        <f t="array" ref="B74">IFERROR(_xlfn.AGGREGATE(15,6,ROW('Motivos detalle'!$C$2:$C$274)/('Motivos detalle'!$C$2:$C$274="ENTRA"),A74),"")</f>
        <v>141</v>
      </c>
      <c r="C74" s="16" t="str" cm="1">
        <f t="array" ref="C74">INDEX('Motivos detalle'!$B:$B,$B74)</f>
        <v>XLF</v>
      </c>
      <c r="D74" s="17" cm="1">
        <f t="array" ref="D74">INDEX('Motivos detalle'!$A:$A,$B74)</f>
        <v>44488</v>
      </c>
      <c r="E74" s="16" cm="1">
        <f t="array" ref="E74">INDEX('Motivos detalle'!$E:$E,$B74)</f>
        <v>2</v>
      </c>
      <c r="F74" s="18" cm="1">
        <f t="array" ref="F74">INDEX('Motivos detalle'!$F:$F,$B74)</f>
        <v>0.6512</v>
      </c>
      <c r="G74" s="19" cm="1">
        <f t="array" ref="G74">INDEX('Motivos detalle'!$G:$G,$B74)</f>
        <v>36.75</v>
      </c>
      <c r="H74" s="19" cm="1">
        <f t="array" ref="H74">INDEX('Motivos detalle'!$H:$H,$B74)</f>
        <v>36.61</v>
      </c>
      <c r="I74" s="18">
        <f t="shared" si="11"/>
        <v>3.8240917782026429E-3</v>
      </c>
      <c r="J74" s="16" cm="1">
        <f t="array" ref="J74">IFERROR(_xlfn.AGGREGATE(15,6,ROW('Motivos detalle'!$C$2:$C$274)/(('Motivos detalle'!$C$2:$C$274="SALE")*('Motivos detalle'!$B$2:$B$274=C74)*(ROW('Motivos detalle'!$C$2:$C$274)&gt;B74)),1),"")</f>
        <v>143</v>
      </c>
      <c r="K74" s="17" cm="1">
        <f t="array" ref="K74">IF($J74="","",INDEX('Motivos detalle'!$A:$A,$J74))</f>
        <v>44517</v>
      </c>
      <c r="L74" s="19" cm="1">
        <f t="array" ref="L74">IF($J74="","",INDEX('Motivos detalle'!$G:$G,$J74))</f>
        <v>36.520000000000003</v>
      </c>
      <c r="M74" s="19" cm="1">
        <f t="array" ref="M74">IF($J74="","",INDEX('Motivos detalle'!$H:$H,$J74))</f>
        <v>36.549999999999997</v>
      </c>
      <c r="N74" s="16" t="str" cm="1">
        <f t="array" ref="N74">IF($J74="","Abierto",INDEX('Motivos detalle'!$D:$D,$J74))</f>
        <v>ruptura piso Donchian</v>
      </c>
      <c r="O74" s="16" cm="1">
        <f t="array" ref="O74">IF($J74="","",INDEX('Motivos detalle'!$E:$E,$J74))</f>
        <v>2</v>
      </c>
      <c r="P74">
        <f t="shared" si="12"/>
        <v>29</v>
      </c>
      <c r="Q74" s="14">
        <f t="shared" si="13"/>
        <v>-6.2585034013604712E-3</v>
      </c>
      <c r="R74" t="str">
        <f t="shared" si="14"/>
        <v>Perdedor</v>
      </c>
      <c r="S74" t="str">
        <f>VLOOKUP(F74,Parametros!$A$25:$B$29,2,TRUE)</f>
        <v>Más de 30%</v>
      </c>
      <c r="T74" s="14">
        <f t="shared" si="15"/>
        <v>-8.2079343365237811E-4</v>
      </c>
      <c r="U74" cm="1">
        <f t="array" ref="U74">IF(J74="","",IFERROR(_xlfn.AGGREGATE(15,6,ROW('Motivos detalle'!$C$2:$C$274)/(('Motivos detalle'!$C$2:$C$274="ENTRA")*('Motivos detalle'!$B$2:$B$274=C74)*(ROW('Motivos detalle'!$C$2:$C$274)&gt;J74)),1),""))</f>
        <v>154</v>
      </c>
      <c r="V74" s="17" cm="1">
        <f t="array" ref="V74">IF(U74="","",INDEX('Motivos detalle'!$A:$A,U74))</f>
        <v>44642</v>
      </c>
      <c r="W74">
        <f t="shared" si="16"/>
        <v>125</v>
      </c>
      <c r="X74" s="19" cm="1">
        <f t="array" ref="X74">IF(U74="","",INDEX('Motivos detalle'!$G:$G,U74))</f>
        <v>36.64</v>
      </c>
      <c r="Y74" t="str">
        <f>IF(W74="","No",IF(W74&lt;Parametros!$B$4,"Sí","No"))</f>
        <v>No</v>
      </c>
      <c r="Z74" s="14" t="str">
        <f t="shared" si="17"/>
        <v/>
      </c>
      <c r="AA74" t="str">
        <f>IF(F74&gt;Parametros!$B$7,"Sí","No")</f>
        <v>Sí</v>
      </c>
      <c r="AB74" s="15">
        <f>VLOOKUP(YEAR(D74),Parametros!$A$11:$B$21,2,FALSE)</f>
        <v>5.0000000000000001E-4</v>
      </c>
      <c r="AC74" t="str">
        <f t="shared" si="18"/>
        <v>Sí</v>
      </c>
      <c r="AD74" t="str">
        <f>IF(N74="ruptura piso Donchian",IF(T74&gt;-Parametros!$B$6,"Sí","No"),"")</f>
        <v>Sí</v>
      </c>
      <c r="AE74" s="15">
        <f>IF(J74="","",(L74*(1-Parametros!$B$32))/(G74*(1+Parametros!$B$32))-1)</f>
        <v>-1.0225535323910018E-2</v>
      </c>
      <c r="AF74" s="15">
        <f t="shared" si="19"/>
        <v>3.9670319225495465E-3</v>
      </c>
    </row>
    <row r="75" spans="1:32" x14ac:dyDescent="0.3">
      <c r="A75">
        <f t="shared" si="10"/>
        <v>72</v>
      </c>
      <c r="B75" cm="1">
        <f t="array" ref="B75">IFERROR(_xlfn.AGGREGATE(15,6,ROW('Motivos detalle'!$C$2:$C$274)/('Motivos detalle'!$C$2:$C$274="ENTRA"),A75),"")</f>
        <v>142</v>
      </c>
      <c r="C75" s="16" t="str" cm="1">
        <f t="array" ref="C75">INDEX('Motivos detalle'!$B:$B,$B75)</f>
        <v>XLRE</v>
      </c>
      <c r="D75" s="17" cm="1">
        <f t="array" ref="D75">INDEX('Motivos detalle'!$A:$A,$B75)</f>
        <v>44491</v>
      </c>
      <c r="E75" s="16" cm="1">
        <f t="array" ref="E75">INDEX('Motivos detalle'!$E:$E,$B75)</f>
        <v>3</v>
      </c>
      <c r="F75" s="18" cm="1">
        <f t="array" ref="F75">INDEX('Motivos detalle'!$F:$F,$B75)</f>
        <v>0.39489999999999997</v>
      </c>
      <c r="G75" s="19" cm="1">
        <f t="array" ref="G75">INDEX('Motivos detalle'!$G:$G,$B75)</f>
        <v>40.57</v>
      </c>
      <c r="H75" s="19" cm="1">
        <f t="array" ref="H75">INDEX('Motivos detalle'!$H:$H,$B75)</f>
        <v>40.32</v>
      </c>
      <c r="I75" s="18">
        <f t="shared" si="11"/>
        <v>6.2003968253967479E-3</v>
      </c>
      <c r="J75" s="16" cm="1">
        <f t="array" ref="J75">IFERROR(_xlfn.AGGREGATE(15,6,ROW('Motivos detalle'!$C$2:$C$274)/(('Motivos detalle'!$C$2:$C$274="SALE")*('Motivos detalle'!$B$2:$B$274=C75)*(ROW('Motivos detalle'!$C$2:$C$274)&gt;B75)),1),"")</f>
        <v>146</v>
      </c>
      <c r="K75" s="17" cm="1">
        <f t="array" ref="K75">IF($J75="","",INDEX('Motivos detalle'!$A:$A,$J75))</f>
        <v>44531</v>
      </c>
      <c r="L75" s="19" cm="1">
        <f t="array" ref="L75">IF($J75="","",INDEX('Motivos detalle'!$G:$G,$J75))</f>
        <v>39.79</v>
      </c>
      <c r="M75" s="19" cm="1">
        <f t="array" ref="M75">IF($J75="","",INDEX('Motivos detalle'!$H:$H,$J75))</f>
        <v>40.299999999999997</v>
      </c>
      <c r="N75" s="16" t="str" cm="1">
        <f t="array" ref="N75">IF($J75="","Abierto",INDEX('Motivos detalle'!$D:$D,$J75))</f>
        <v>ruptura piso Donchian</v>
      </c>
      <c r="O75" s="16" cm="1">
        <f t="array" ref="O75">IF($J75="","",INDEX('Motivos detalle'!$E:$E,$J75))</f>
        <v>4</v>
      </c>
      <c r="P75">
        <f t="shared" si="12"/>
        <v>40</v>
      </c>
      <c r="Q75" s="14">
        <f t="shared" si="13"/>
        <v>-1.9226029085531171E-2</v>
      </c>
      <c r="R75" t="str">
        <f t="shared" si="14"/>
        <v>Perdedor</v>
      </c>
      <c r="S75" t="str">
        <f>VLOOKUP(F75,Parametros!$A$25:$B$29,2,TRUE)</f>
        <v>Más de 30%</v>
      </c>
      <c r="T75" s="14">
        <f t="shared" si="15"/>
        <v>-1.2655086848635144E-2</v>
      </c>
      <c r="U75" cm="1">
        <f t="array" ref="U75">IF(J75="","",IFERROR(_xlfn.AGGREGATE(15,6,ROW('Motivos detalle'!$C$2:$C$274)/(('Motivos detalle'!$C$2:$C$274="ENTRA")*('Motivos detalle'!$B$2:$B$274=C75)*(ROW('Motivos detalle'!$C$2:$C$274)&gt;J75)),1),""))</f>
        <v>147</v>
      </c>
      <c r="V75" s="17" cm="1">
        <f t="array" ref="V75">IF(U75="","",INDEX('Motivos detalle'!$A:$A,U75))</f>
        <v>44537</v>
      </c>
      <c r="W75">
        <f t="shared" si="16"/>
        <v>6</v>
      </c>
      <c r="X75" s="19" cm="1">
        <f t="array" ref="X75">IF(U75="","",INDEX('Motivos detalle'!$G:$G,U75))</f>
        <v>41.99</v>
      </c>
      <c r="Y75" t="str">
        <f>IF(W75="","No",IF(W75&lt;Parametros!$B$4,"Sí","No"))</f>
        <v>Sí</v>
      </c>
      <c r="Z75" s="14">
        <f t="shared" si="17"/>
        <v>5.5290273938175538E-2</v>
      </c>
      <c r="AA75" t="str">
        <f>IF(F75&gt;Parametros!$B$7,"Sí","No")</f>
        <v>Sí</v>
      </c>
      <c r="AB75" s="15">
        <f>VLOOKUP(YEAR(D75),Parametros!$A$11:$B$21,2,FALSE)</f>
        <v>5.0000000000000001E-4</v>
      </c>
      <c r="AC75" t="str">
        <f t="shared" si="18"/>
        <v>Sí</v>
      </c>
      <c r="AD75" t="str">
        <f>IF(N75="ruptura piso Donchian",IF(T75&gt;-Parametros!$B$6,"Sí","No"),"")</f>
        <v>No</v>
      </c>
      <c r="AE75" s="15">
        <f>IF(J75="","",(L75*(1-Parametros!$B$32))/(G75*(1+Parametros!$B$32))-1)</f>
        <v>-2.3141294438483118E-2</v>
      </c>
      <c r="AF75" s="15">
        <f t="shared" si="19"/>
        <v>3.9152653529519466E-3</v>
      </c>
    </row>
    <row r="76" spans="1:32" x14ac:dyDescent="0.3">
      <c r="A76">
        <f t="shared" si="10"/>
        <v>73</v>
      </c>
      <c r="B76" cm="1">
        <f t="array" ref="B76">IFERROR(_xlfn.AGGREGATE(15,6,ROW('Motivos detalle'!$C$2:$C$274)/('Motivos detalle'!$C$2:$C$274="ENTRA"),A76),"")</f>
        <v>145</v>
      </c>
      <c r="C76" s="16" t="str" cm="1">
        <f t="array" ref="C76">INDEX('Motivos detalle'!$B:$B,$B76)</f>
        <v>XLK</v>
      </c>
      <c r="D76" s="17" cm="1">
        <f t="array" ref="D76">INDEX('Motivos detalle'!$A:$A,$B76)</f>
        <v>44518</v>
      </c>
      <c r="E76" s="16" cm="1">
        <f t="array" ref="E76">INDEX('Motivos detalle'!$E:$E,$B76)</f>
        <v>3</v>
      </c>
      <c r="F76" s="18" cm="1">
        <f t="array" ref="F76">INDEX('Motivos detalle'!$F:$F,$B76)</f>
        <v>0.42399999999999999</v>
      </c>
      <c r="G76" s="19" cm="1">
        <f t="array" ref="G76">INDEX('Motivos detalle'!$G:$G,$B76)</f>
        <v>82.05</v>
      </c>
      <c r="H76" s="19" cm="1">
        <f t="array" ref="H76">INDEX('Motivos detalle'!$H:$H,$B76)</f>
        <v>81.75</v>
      </c>
      <c r="I76" s="18">
        <f t="shared" si="11"/>
        <v>3.669724770642091E-3</v>
      </c>
      <c r="J76" s="16" cm="1">
        <f t="array" ref="J76">IFERROR(_xlfn.AGGREGATE(15,6,ROW('Motivos detalle'!$C$2:$C$274)/(('Motivos detalle'!$C$2:$C$274="SALE")*('Motivos detalle'!$B$2:$B$274=C76)*(ROW('Motivos detalle'!$C$2:$C$274)&gt;B76)),1),"")</f>
        <v>149</v>
      </c>
      <c r="K76" s="17" cm="1">
        <f t="array" ref="K76">IF($J76="","",INDEX('Motivos detalle'!$A:$A,$J76))</f>
        <v>44580</v>
      </c>
      <c r="L76" s="19" cm="1">
        <f t="array" ref="L76">IF($J76="","",INDEX('Motivos detalle'!$G:$G,$J76))</f>
        <v>77.099999999999994</v>
      </c>
      <c r="M76" s="19" cm="1">
        <f t="array" ref="M76">IF($J76="","",INDEX('Motivos detalle'!$H:$H,$J76))</f>
        <v>77.959999999999994</v>
      </c>
      <c r="N76" s="16" t="str" cm="1">
        <f t="array" ref="N76">IF($J76="","Abierto",INDEX('Motivos detalle'!$D:$D,$J76))</f>
        <v>ruptura piso Donchian</v>
      </c>
      <c r="O76" s="16" cm="1">
        <f t="array" ref="O76">IF($J76="","",INDEX('Motivos detalle'!$E:$E,$J76))</f>
        <v>4</v>
      </c>
      <c r="P76">
        <f t="shared" si="12"/>
        <v>62</v>
      </c>
      <c r="Q76" s="14">
        <f t="shared" si="13"/>
        <v>-6.0329067641681888E-2</v>
      </c>
      <c r="R76" t="str">
        <f t="shared" si="14"/>
        <v>Perdedor</v>
      </c>
      <c r="S76" t="str">
        <f>VLOOKUP(F76,Parametros!$A$25:$B$29,2,TRUE)</f>
        <v>Más de 30%</v>
      </c>
      <c r="T76" s="14">
        <f t="shared" si="15"/>
        <v>-1.1031298101590536E-2</v>
      </c>
      <c r="U76" cm="1">
        <f t="array" ref="U76">IF(J76="","",IFERROR(_xlfn.AGGREGATE(15,6,ROW('Motivos detalle'!$C$2:$C$274)/(('Motivos detalle'!$C$2:$C$274="ENTRA")*('Motivos detalle'!$B$2:$B$274=C76)*(ROW('Motivos detalle'!$C$2:$C$274)&gt;J76)),1),""))</f>
        <v>185</v>
      </c>
      <c r="V76" s="17" cm="1">
        <f t="array" ref="V76">IF(U76="","",INDEX('Motivos detalle'!$A:$A,U76))</f>
        <v>45063</v>
      </c>
      <c r="W76">
        <f t="shared" si="16"/>
        <v>483</v>
      </c>
      <c r="X76" s="19" cm="1">
        <f t="array" ref="X76">IF(U76="","",INDEX('Motivos detalle'!$G:$G,U76))</f>
        <v>75.52</v>
      </c>
      <c r="Y76" t="str">
        <f>IF(W76="","No",IF(W76&lt;Parametros!$B$4,"Sí","No"))</f>
        <v>No</v>
      </c>
      <c r="Z76" s="14" t="str">
        <f t="shared" si="17"/>
        <v/>
      </c>
      <c r="AA76" t="str">
        <f>IF(F76&gt;Parametros!$B$7,"Sí","No")</f>
        <v>Sí</v>
      </c>
      <c r="AB76" s="15">
        <f>VLOOKUP(YEAR(D76),Parametros!$A$11:$B$21,2,FALSE)</f>
        <v>5.0000000000000001E-4</v>
      </c>
      <c r="AC76" t="str">
        <f t="shared" si="18"/>
        <v>Sí</v>
      </c>
      <c r="AD76" t="str">
        <f>IF(N76="ruptura piso Donchian",IF(T76&gt;-Parametros!$B$6,"Sí","No"),"")</f>
        <v>No</v>
      </c>
      <c r="AE76" s="15">
        <f>IF(J76="","",(L76*(1-Parametros!$B$32))/(G76*(1+Parametros!$B$32))-1)</f>
        <v>-6.408024900838194E-2</v>
      </c>
      <c r="AF76" s="15">
        <f t="shared" si="19"/>
        <v>3.7511813667000515E-3</v>
      </c>
    </row>
    <row r="77" spans="1:32" x14ac:dyDescent="0.3">
      <c r="A77">
        <f t="shared" si="10"/>
        <v>74</v>
      </c>
      <c r="B77" cm="1">
        <f t="array" ref="B77">IFERROR(_xlfn.AGGREGATE(15,6,ROW('Motivos detalle'!$C$2:$C$274)/('Motivos detalle'!$C$2:$C$274="ENTRA"),A77),"")</f>
        <v>147</v>
      </c>
      <c r="C77" s="16" t="str" cm="1">
        <f t="array" ref="C77">INDEX('Motivos detalle'!$B:$B,$B77)</f>
        <v>XLRE</v>
      </c>
      <c r="D77" s="17" cm="1">
        <f t="array" ref="D77">INDEX('Motivos detalle'!$A:$A,$B77)</f>
        <v>44537</v>
      </c>
      <c r="E77" s="16" cm="1">
        <f t="array" ref="E77">INDEX('Motivos detalle'!$E:$E,$B77)</f>
        <v>3</v>
      </c>
      <c r="F77" s="18" cm="1">
        <f t="array" ref="F77">INDEX('Motivos detalle'!$F:$F,$B77)</f>
        <v>0.38279999999999997</v>
      </c>
      <c r="G77" s="19" cm="1">
        <f t="array" ref="G77">INDEX('Motivos detalle'!$G:$G,$B77)</f>
        <v>41.99</v>
      </c>
      <c r="H77" s="19" cm="1">
        <f t="array" ref="H77">INDEX('Motivos detalle'!$H:$H,$B77)</f>
        <v>41.85</v>
      </c>
      <c r="I77" s="18">
        <f t="shared" si="11"/>
        <v>3.3452807646356941E-3</v>
      </c>
      <c r="J77" s="16" cm="1">
        <f t="array" ref="J77">IFERROR(_xlfn.AGGREGATE(15,6,ROW('Motivos detalle'!$C$2:$C$274)/(('Motivos detalle'!$C$2:$C$274="SALE")*('Motivos detalle'!$B$2:$B$274=C77)*(ROW('Motivos detalle'!$C$2:$C$274)&gt;B77)),1),"")</f>
        <v>150</v>
      </c>
      <c r="K77" s="17" cm="1">
        <f t="array" ref="K77">IF($J77="","",INDEX('Motivos detalle'!$A:$A,$J77))</f>
        <v>44580</v>
      </c>
      <c r="L77" s="19" cm="1">
        <f t="array" ref="L77">IF($J77="","",INDEX('Motivos detalle'!$G:$G,$J77))</f>
        <v>40.619999999999997</v>
      </c>
      <c r="M77" s="19" cm="1">
        <f t="array" ref="M77">IF($J77="","",INDEX('Motivos detalle'!$H:$H,$J77))</f>
        <v>40.74</v>
      </c>
      <c r="N77" s="16" t="str" cm="1">
        <f t="array" ref="N77">IF($J77="","Abierto",INDEX('Motivos detalle'!$D:$D,$J77))</f>
        <v>ruptura piso Donchian</v>
      </c>
      <c r="O77" s="16" cm="1">
        <f t="array" ref="O77">IF($J77="","",INDEX('Motivos detalle'!$E:$E,$J77))</f>
        <v>2</v>
      </c>
      <c r="P77">
        <f t="shared" si="12"/>
        <v>43</v>
      </c>
      <c r="Q77" s="14">
        <f t="shared" si="13"/>
        <v>-3.2626815908549767E-2</v>
      </c>
      <c r="R77" t="str">
        <f t="shared" si="14"/>
        <v>Perdedor</v>
      </c>
      <c r="S77" t="str">
        <f>VLOOKUP(F77,Parametros!$A$25:$B$29,2,TRUE)</f>
        <v>Más de 30%</v>
      </c>
      <c r="T77" s="14">
        <f t="shared" si="15"/>
        <v>-2.945508100147376E-3</v>
      </c>
      <c r="U77" cm="1">
        <f t="array" ref="U77">IF(J77="","",IFERROR(_xlfn.AGGREGATE(15,6,ROW('Motivos detalle'!$C$2:$C$274)/(('Motivos detalle'!$C$2:$C$274="ENTRA")*('Motivos detalle'!$B$2:$B$274=C77)*(ROW('Motivos detalle'!$C$2:$C$274)&gt;J77)),1),""))</f>
        <v>156</v>
      </c>
      <c r="V77" s="17" cm="1">
        <f t="array" ref="V77">IF(U77="","",INDEX('Motivos detalle'!$A:$A,U77))</f>
        <v>44648</v>
      </c>
      <c r="W77">
        <f t="shared" si="16"/>
        <v>68</v>
      </c>
      <c r="X77" s="19" cm="1">
        <f t="array" ref="X77">IF(U77="","",INDEX('Motivos detalle'!$G:$G,U77))</f>
        <v>41.19</v>
      </c>
      <c r="Y77" t="str">
        <f>IF(W77="","No",IF(W77&lt;Parametros!$B$4,"Sí","No"))</f>
        <v>No</v>
      </c>
      <c r="Z77" s="14" t="str">
        <f t="shared" si="17"/>
        <v/>
      </c>
      <c r="AA77" t="str">
        <f>IF(F77&gt;Parametros!$B$7,"Sí","No")</f>
        <v>Sí</v>
      </c>
      <c r="AB77" s="15">
        <f>VLOOKUP(YEAR(D77),Parametros!$A$11:$B$21,2,FALSE)</f>
        <v>5.0000000000000001E-4</v>
      </c>
      <c r="AC77" t="str">
        <f t="shared" si="18"/>
        <v>Sí</v>
      </c>
      <c r="AD77" t="str">
        <f>IF(N77="ruptura piso Donchian",IF(T77&gt;-Parametros!$B$6,"Sí","No"),"")</f>
        <v>Sí</v>
      </c>
      <c r="AE77" s="15">
        <f>IF(J77="","",(L77*(1-Parametros!$B$32))/(G77*(1+Parametros!$B$32))-1)</f>
        <v>-3.6488585106519533E-2</v>
      </c>
      <c r="AF77" s="15">
        <f t="shared" si="19"/>
        <v>3.8617691979697666E-3</v>
      </c>
    </row>
    <row r="78" spans="1:32" x14ac:dyDescent="0.3">
      <c r="A78">
        <f t="shared" si="10"/>
        <v>75</v>
      </c>
      <c r="B78" cm="1">
        <f t="array" ref="B78">IFERROR(_xlfn.AGGREGATE(15,6,ROW('Motivos detalle'!$C$2:$C$274)/('Motivos detalle'!$C$2:$C$274="ENTRA"),A78),"")</f>
        <v>148</v>
      </c>
      <c r="C78" s="16" t="str" cm="1">
        <f t="array" ref="C78">INDEX('Motivos detalle'!$B:$B,$B78)</f>
        <v>XLE</v>
      </c>
      <c r="D78" s="17" cm="1">
        <f t="array" ref="D78">INDEX('Motivos detalle'!$A:$A,$B78)</f>
        <v>44565</v>
      </c>
      <c r="E78" s="16" cm="1">
        <f t="array" ref="E78">INDEX('Motivos detalle'!$E:$E,$B78)</f>
        <v>1</v>
      </c>
      <c r="F78" s="18" cm="1">
        <f t="array" ref="F78">INDEX('Motivos detalle'!$F:$F,$B78)</f>
        <v>0.56240000000000001</v>
      </c>
      <c r="G78" s="19" cm="1">
        <f t="array" ref="G78">INDEX('Motivos detalle'!$G:$G,$B78)</f>
        <v>25.3</v>
      </c>
      <c r="H78" s="19" cm="1">
        <f t="array" ref="H78">INDEX('Motivos detalle'!$H:$H,$B78)</f>
        <v>24.49</v>
      </c>
      <c r="I78" s="18">
        <f t="shared" si="11"/>
        <v>3.307472437729686E-2</v>
      </c>
      <c r="J78" s="16" cm="1">
        <f t="array" ref="J78">IFERROR(_xlfn.AGGREGATE(15,6,ROW('Motivos detalle'!$C$2:$C$274)/(('Motivos detalle'!$C$2:$C$274="SALE")*('Motivos detalle'!$B$2:$B$274=C78)*(ROW('Motivos detalle'!$C$2:$C$274)&gt;B78)),1),"")</f>
        <v>158</v>
      </c>
      <c r="K78" s="17" cm="1">
        <f t="array" ref="K78">IF($J78="","",INDEX('Motivos detalle'!$A:$A,$J78))</f>
        <v>44676</v>
      </c>
      <c r="L78" s="19" cm="1">
        <f t="array" ref="L78">IF($J78="","",INDEX('Motivos detalle'!$G:$G,$J78))</f>
        <v>31.79</v>
      </c>
      <c r="M78" s="19" cm="1">
        <f t="array" ref="M78">IF($J78="","",INDEX('Motivos detalle'!$H:$H,$J78))</f>
        <v>32.01</v>
      </c>
      <c r="N78" s="16" t="str" cm="1">
        <f t="array" ref="N78">IF($J78="","Abierto",INDEX('Motivos detalle'!$D:$D,$J78))</f>
        <v>ruptura piso Donchian</v>
      </c>
      <c r="O78" s="16" cm="1">
        <f t="array" ref="O78">IF($J78="","",INDEX('Motivos detalle'!$E:$E,$J78))</f>
        <v>1</v>
      </c>
      <c r="P78">
        <f t="shared" si="12"/>
        <v>111</v>
      </c>
      <c r="Q78" s="14">
        <f t="shared" si="13"/>
        <v>0.25652173913043463</v>
      </c>
      <c r="R78" t="str">
        <f t="shared" si="14"/>
        <v>Ganador</v>
      </c>
      <c r="S78" t="str">
        <f>VLOOKUP(F78,Parametros!$A$25:$B$29,2,TRUE)</f>
        <v>Más de 30%</v>
      </c>
      <c r="T78" s="14">
        <f t="shared" si="15"/>
        <v>-6.8728522336769515E-3</v>
      </c>
      <c r="U78" cm="1">
        <f t="array" ref="U78">IF(J78="","",IFERROR(_xlfn.AGGREGATE(15,6,ROW('Motivos detalle'!$C$2:$C$274)/(('Motivos detalle'!$C$2:$C$274="ENTRA")*('Motivos detalle'!$B$2:$B$274=C78)*(ROW('Motivos detalle'!$C$2:$C$274)&gt;J78)),1),""))</f>
        <v>160</v>
      </c>
      <c r="V78" s="17" cm="1">
        <f t="array" ref="V78">IF(U78="","",INDEX('Motivos detalle'!$A:$A,U78))</f>
        <v>44687</v>
      </c>
      <c r="W78">
        <f t="shared" si="16"/>
        <v>11</v>
      </c>
      <c r="X78" s="19" cm="1">
        <f t="array" ref="X78">IF(U78="","",INDEX('Motivos detalle'!$G:$G,U78))</f>
        <v>35.770000000000003</v>
      </c>
      <c r="Y78" t="str">
        <f>IF(W78="","No",IF(W78&lt;Parametros!$B$4,"Sí","No"))</f>
        <v>No</v>
      </c>
      <c r="Z78" s="14" t="str">
        <f t="shared" si="17"/>
        <v/>
      </c>
      <c r="AA78" t="str">
        <f>IF(F78&gt;Parametros!$B$7,"Sí","No")</f>
        <v>Sí</v>
      </c>
      <c r="AB78" s="15">
        <f>VLOOKUP(YEAR(D78),Parametros!$A$11:$B$21,2,FALSE)</f>
        <v>0.02</v>
      </c>
      <c r="AC78" t="str">
        <f t="shared" si="18"/>
        <v>Sí</v>
      </c>
      <c r="AD78" t="str">
        <f>IF(N78="ruptura piso Donchian",IF(T78&gt;-Parametros!$B$6,"Sí","No"),"")</f>
        <v>No</v>
      </c>
      <c r="AE78" s="15">
        <f>IF(J78="","",(L78*(1-Parametros!$B$32))/(G78*(1+Parametros!$B$32))-1)</f>
        <v>0.25150568428360653</v>
      </c>
      <c r="AF78" s="15">
        <f t="shared" si="19"/>
        <v>5.0160548468280997E-3</v>
      </c>
    </row>
    <row r="79" spans="1:32" x14ac:dyDescent="0.3">
      <c r="A79">
        <f t="shared" si="10"/>
        <v>76</v>
      </c>
      <c r="B79" cm="1">
        <f t="array" ref="B79">IFERROR(_xlfn.AGGREGATE(15,6,ROW('Motivos detalle'!$C$2:$C$274)/('Motivos detalle'!$C$2:$C$274="ENTRA"),A79),"")</f>
        <v>151</v>
      </c>
      <c r="C79" s="16" t="str" cm="1">
        <f t="array" ref="C79">INDEX('Motivos detalle'!$B:$B,$B79)</f>
        <v>XLU</v>
      </c>
      <c r="D79" s="17" cm="1">
        <f t="array" ref="D79">INDEX('Motivos detalle'!$A:$A,$B79)</f>
        <v>44624</v>
      </c>
      <c r="E79" s="16" cm="1">
        <f t="array" ref="E79">INDEX('Motivos detalle'!$E:$E,$B79)</f>
        <v>3</v>
      </c>
      <c r="F79" s="18" cm="1">
        <f t="array" ref="F79">INDEX('Motivos detalle'!$F:$F,$B79)</f>
        <v>0.22470000000000001</v>
      </c>
      <c r="G79" s="19" cm="1">
        <f t="array" ref="G79">INDEX('Motivos detalle'!$G:$G,$B79)</f>
        <v>30.97</v>
      </c>
      <c r="H79" s="19" cm="1">
        <f t="array" ref="H79">INDEX('Motivos detalle'!$H:$H,$B79)</f>
        <v>30.45</v>
      </c>
      <c r="I79" s="18">
        <f t="shared" si="11"/>
        <v>1.7077175697865377E-2</v>
      </c>
      <c r="J79" s="16" cm="1">
        <f t="array" ref="J79">IFERROR(_xlfn.AGGREGATE(15,6,ROW('Motivos detalle'!$C$2:$C$274)/(('Motivos detalle'!$C$2:$C$274="SALE")*('Motivos detalle'!$B$2:$B$274=C79)*(ROW('Motivos detalle'!$C$2:$C$274)&gt;B79)),1),"")</f>
        <v>153</v>
      </c>
      <c r="K79" s="17" cm="1">
        <f t="array" ref="K79">IF($J79="","",INDEX('Motivos detalle'!$A:$A,$J79))</f>
        <v>44642</v>
      </c>
      <c r="L79" s="19" cm="1">
        <f t="array" ref="L79">IF($J79="","",INDEX('Motivos detalle'!$G:$G,$J79))</f>
        <v>31.18</v>
      </c>
      <c r="M79" s="19" cm="1">
        <f t="array" ref="M79">IF($J79="","",INDEX('Motivos detalle'!$H:$H,$J79))</f>
        <v>28.08</v>
      </c>
      <c r="N79" s="16" t="str" cm="1">
        <f t="array" ref="N79">IF($J79="","Abierto",INDEX('Motivos detalle'!$D:$D,$J79))</f>
        <v>cae del ranking (&gt;#5)</v>
      </c>
      <c r="O79" s="16" cm="1">
        <f t="array" ref="O79">IF($J79="","",INDEX('Motivos detalle'!$E:$E,$J79))</f>
        <v>6</v>
      </c>
      <c r="P79">
        <f t="shared" si="12"/>
        <v>18</v>
      </c>
      <c r="Q79" s="14">
        <f t="shared" si="13"/>
        <v>6.780755569906427E-3</v>
      </c>
      <c r="R79" t="str">
        <f t="shared" si="14"/>
        <v>Ganador</v>
      </c>
      <c r="S79" t="str">
        <f>VLOOKUP(F79,Parametros!$A$25:$B$29,2,TRUE)</f>
        <v>15% a 30%</v>
      </c>
      <c r="T79" s="14" t="str">
        <f t="shared" si="15"/>
        <v/>
      </c>
      <c r="U79" cm="1">
        <f t="array" ref="U79">IF(J79="","",IFERROR(_xlfn.AGGREGATE(15,6,ROW('Motivos detalle'!$C$2:$C$274)/(('Motivos detalle'!$C$2:$C$274="ENTRA")*('Motivos detalle'!$B$2:$B$274=C79)*(ROW('Motivos detalle'!$C$2:$C$274)&gt;J79)),1),""))</f>
        <v>161</v>
      </c>
      <c r="V79" s="17" cm="1">
        <f t="array" ref="V79">IF(U79="","",INDEX('Motivos detalle'!$A:$A,U79))</f>
        <v>44708</v>
      </c>
      <c r="W79">
        <f t="shared" si="16"/>
        <v>66</v>
      </c>
      <c r="X79" s="19" cm="1">
        <f t="array" ref="X79">IF(U79="","",INDEX('Motivos detalle'!$G:$G,U79))</f>
        <v>33.14</v>
      </c>
      <c r="Y79" t="str">
        <f>IF(W79="","No",IF(W79&lt;Parametros!$B$4,"Sí","No"))</f>
        <v>No</v>
      </c>
      <c r="Z79" s="14" t="str">
        <f t="shared" si="17"/>
        <v/>
      </c>
      <c r="AA79" t="str">
        <f>IF(F79&gt;Parametros!$B$7,"Sí","No")</f>
        <v>Sí</v>
      </c>
      <c r="AB79" s="15">
        <f>VLOOKUP(YEAR(D79),Parametros!$A$11:$B$21,2,FALSE)</f>
        <v>0.02</v>
      </c>
      <c r="AC79" t="str">
        <f t="shared" si="18"/>
        <v>Sí</v>
      </c>
      <c r="AD79" t="str">
        <f>IF(N79="ruptura piso Donchian",IF(T79&gt;-Parametros!$B$6,"Sí","No"),"")</f>
        <v/>
      </c>
      <c r="AE79" s="15">
        <f>IF(J79="","",(L79*(1-Parametros!$B$32))/(G79*(1+Parametros!$B$32))-1)</f>
        <v>2.7616707173319099E-3</v>
      </c>
      <c r="AF79" s="15">
        <f t="shared" si="19"/>
        <v>4.0190848525745171E-3</v>
      </c>
    </row>
    <row r="80" spans="1:32" x14ac:dyDescent="0.3">
      <c r="A80">
        <f t="shared" si="10"/>
        <v>77</v>
      </c>
      <c r="B80" cm="1">
        <f t="array" ref="B80">IFERROR(_xlfn.AGGREGATE(15,6,ROW('Motivos detalle'!$C$2:$C$274)/('Motivos detalle'!$C$2:$C$274="ENTRA"),A80),"")</f>
        <v>152</v>
      </c>
      <c r="C80" s="16" t="str" cm="1">
        <f t="array" ref="C80">INDEX('Motivos detalle'!$B:$B,$B80)</f>
        <v>XLV</v>
      </c>
      <c r="D80" s="17" cm="1">
        <f t="array" ref="D80">INDEX('Motivos detalle'!$A:$A,$B80)</f>
        <v>44636</v>
      </c>
      <c r="E80" s="16" cm="1">
        <f t="array" ref="E80">INDEX('Motivos detalle'!$E:$E,$B80)</f>
        <v>3</v>
      </c>
      <c r="F80" s="18" cm="1">
        <f t="array" ref="F80">INDEX('Motivos detalle'!$F:$F,$B80)</f>
        <v>0.18379999999999999</v>
      </c>
      <c r="G80" s="19" cm="1">
        <f t="array" ref="G80">INDEX('Motivos detalle'!$G:$G,$B80)</f>
        <v>124.51</v>
      </c>
      <c r="H80" s="19" cm="1">
        <f t="array" ref="H80">INDEX('Motivos detalle'!$H:$H,$B80)</f>
        <v>123.22</v>
      </c>
      <c r="I80" s="18">
        <f t="shared" si="11"/>
        <v>1.0469079694854777E-2</v>
      </c>
      <c r="J80" s="16" cm="1">
        <f t="array" ref="J80">IFERROR(_xlfn.AGGREGATE(15,6,ROW('Motivos detalle'!$C$2:$C$274)/(('Motivos detalle'!$C$2:$C$274="SALE")*('Motivos detalle'!$B$2:$B$274=C80)*(ROW('Motivos detalle'!$C$2:$C$274)&gt;B80)),1),"")</f>
        <v>157</v>
      </c>
      <c r="K80" s="17" cm="1">
        <f t="array" ref="K80">IF($J80="","",INDEX('Motivos detalle'!$A:$A,$J80))</f>
        <v>44673</v>
      </c>
      <c r="L80" s="19" cm="1">
        <f t="array" ref="L80">IF($J80="","",INDEX('Motivos detalle'!$G:$G,$J80))</f>
        <v>124.56</v>
      </c>
      <c r="M80" s="19" cm="1">
        <f t="array" ref="M80">IF($J80="","",INDEX('Motivos detalle'!$H:$H,$J80))</f>
        <v>125.1</v>
      </c>
      <c r="N80" s="16" t="str" cm="1">
        <f t="array" ref="N80">IF($J80="","Abierto",INDEX('Motivos detalle'!$D:$D,$J80))</f>
        <v>ruptura piso Donchian</v>
      </c>
      <c r="O80" s="16" cm="1">
        <f t="array" ref="O80">IF($J80="","",INDEX('Motivos detalle'!$E:$E,$J80))</f>
        <v>5</v>
      </c>
      <c r="P80">
        <f t="shared" si="12"/>
        <v>37</v>
      </c>
      <c r="Q80" s="14">
        <f t="shared" si="13"/>
        <v>4.0157417074926371E-4</v>
      </c>
      <c r="R80" t="str">
        <f t="shared" si="14"/>
        <v>Ganador</v>
      </c>
      <c r="S80" t="str">
        <f>VLOOKUP(F80,Parametros!$A$25:$B$29,2,TRUE)</f>
        <v>15% a 30%</v>
      </c>
      <c r="T80" s="14">
        <f t="shared" si="15"/>
        <v>-4.3165467625898568E-3</v>
      </c>
      <c r="U80" cm="1">
        <f t="array" ref="U80">IF(J80="","",IFERROR(_xlfn.AGGREGATE(15,6,ROW('Motivos detalle'!$C$2:$C$274)/(('Motivos detalle'!$C$2:$C$274="ENTRA")*('Motivos detalle'!$B$2:$B$274=C80)*(ROW('Motivos detalle'!$C$2:$C$274)&gt;J80)),1),""))</f>
        <v>162</v>
      </c>
      <c r="V80" s="17" cm="1">
        <f t="array" ref="V80">IF(U80="","",INDEX('Motivos detalle'!$A:$A,U80))</f>
        <v>44708</v>
      </c>
      <c r="W80">
        <f t="shared" si="16"/>
        <v>35</v>
      </c>
      <c r="X80" s="19" cm="1">
        <f t="array" ref="X80">IF(U80="","",INDEX('Motivos detalle'!$G:$G,U80))</f>
        <v>124.89</v>
      </c>
      <c r="Y80" t="str">
        <f>IF(W80="","No",IF(W80&lt;Parametros!$B$4,"Sí","No"))</f>
        <v>No</v>
      </c>
      <c r="Z80" s="14" t="str">
        <f t="shared" si="17"/>
        <v/>
      </c>
      <c r="AA80" t="str">
        <f>IF(F80&gt;Parametros!$B$7,"Sí","No")</f>
        <v>Sí</v>
      </c>
      <c r="AB80" s="15">
        <f>VLOOKUP(YEAR(D80),Parametros!$A$11:$B$21,2,FALSE)</f>
        <v>0.02</v>
      </c>
      <c r="AC80" t="str">
        <f t="shared" si="18"/>
        <v>Sí</v>
      </c>
      <c r="AD80" t="str">
        <f>IF(N80="ruptura piso Donchian",IF(T80&gt;-Parametros!$B$6,"Sí","No"),"")</f>
        <v>No</v>
      </c>
      <c r="AE80" s="15">
        <f>IF(J80="","",(L80*(1-Parametros!$B$32))/(G80*(1+Parametros!$B$32))-1)</f>
        <v>-3.5920448878166145E-3</v>
      </c>
      <c r="AF80" s="15">
        <f t="shared" si="19"/>
        <v>3.9936190585658782E-3</v>
      </c>
    </row>
    <row r="81" spans="1:32" x14ac:dyDescent="0.3">
      <c r="A81">
        <f t="shared" si="10"/>
        <v>78</v>
      </c>
      <c r="B81" cm="1">
        <f t="array" ref="B81">IFERROR(_xlfn.AGGREGATE(15,6,ROW('Motivos detalle'!$C$2:$C$274)/('Motivos detalle'!$C$2:$C$274="ENTRA"),A81),"")</f>
        <v>154</v>
      </c>
      <c r="C81" s="16" t="str" cm="1">
        <f t="array" ref="C81">INDEX('Motivos detalle'!$B:$B,$B81)</f>
        <v>XLF</v>
      </c>
      <c r="D81" s="17" cm="1">
        <f t="array" ref="D81">INDEX('Motivos detalle'!$A:$A,$B81)</f>
        <v>44642</v>
      </c>
      <c r="E81" s="16" cm="1">
        <f t="array" ref="E81">INDEX('Motivos detalle'!$E:$E,$B81)</f>
        <v>3</v>
      </c>
      <c r="F81" s="18" cm="1">
        <f t="array" ref="F81">INDEX('Motivos detalle'!$F:$F,$B81)</f>
        <v>0.2097</v>
      </c>
      <c r="G81" s="19" cm="1">
        <f t="array" ref="G81">INDEX('Motivos detalle'!$G:$G,$B81)</f>
        <v>36.64</v>
      </c>
      <c r="H81" s="19" cm="1">
        <f t="array" ref="H81">INDEX('Motivos detalle'!$H:$H,$B81)</f>
        <v>36.49</v>
      </c>
      <c r="I81" s="18">
        <f t="shared" si="11"/>
        <v>4.1107152644559442E-3</v>
      </c>
      <c r="J81" s="16" cm="1">
        <f t="array" ref="J81">IFERROR(_xlfn.AGGREGATE(15,6,ROW('Motivos detalle'!$C$2:$C$274)/(('Motivos detalle'!$C$2:$C$274="SALE")*('Motivos detalle'!$B$2:$B$274=C81)*(ROW('Motivos detalle'!$C$2:$C$274)&gt;B81)),1),"")</f>
        <v>155</v>
      </c>
      <c r="K81" s="17" cm="1">
        <f t="array" ref="K81">IF($J81="","",INDEX('Motivos detalle'!$A:$A,$J81))</f>
        <v>44645</v>
      </c>
      <c r="L81" s="19" cm="1">
        <f t="array" ref="L81">IF($J81="","",INDEX('Motivos detalle'!$G:$G,$J81))</f>
        <v>36.71</v>
      </c>
      <c r="M81" s="19" cm="1">
        <f t="array" ref="M81">IF($J81="","",INDEX('Motivos detalle'!$H:$H,$J81))</f>
        <v>32.840000000000003</v>
      </c>
      <c r="N81" s="16" t="str" cm="1">
        <f t="array" ref="N81">IF($J81="","Abierto",INDEX('Motivos detalle'!$D:$D,$J81))</f>
        <v>cae del ranking (&gt;#5)</v>
      </c>
      <c r="O81" s="16" cm="1">
        <f t="array" ref="O81">IF($J81="","",INDEX('Motivos detalle'!$E:$E,$J81))</f>
        <v>6</v>
      </c>
      <c r="P81">
        <f t="shared" si="12"/>
        <v>3</v>
      </c>
      <c r="Q81" s="14">
        <f t="shared" si="13"/>
        <v>1.9104803493450451E-3</v>
      </c>
      <c r="R81" t="str">
        <f t="shared" si="14"/>
        <v>Ganador</v>
      </c>
      <c r="S81" t="str">
        <f>VLOOKUP(F81,Parametros!$A$25:$B$29,2,TRUE)</f>
        <v>15% a 30%</v>
      </c>
      <c r="T81" s="14" t="str">
        <f t="shared" si="15"/>
        <v/>
      </c>
      <c r="U81" cm="1">
        <f t="array" ref="U81">IF(J81="","",IFERROR(_xlfn.AGGREGATE(15,6,ROW('Motivos detalle'!$C$2:$C$274)/(('Motivos detalle'!$C$2:$C$274="ENTRA")*('Motivos detalle'!$B$2:$B$274=C81)*(ROW('Motivos detalle'!$C$2:$C$274)&gt;J81)),1),""))</f>
        <v>206</v>
      </c>
      <c r="V81" s="17" cm="1">
        <f t="array" ref="V81">IF(U81="","",INDEX('Motivos detalle'!$A:$A,U81))</f>
        <v>45421</v>
      </c>
      <c r="W81">
        <f t="shared" si="16"/>
        <v>776</v>
      </c>
      <c r="X81" s="19" cm="1">
        <f t="array" ref="X81">IF(U81="","",INDEX('Motivos detalle'!$G:$G,U81))</f>
        <v>40.270000000000003</v>
      </c>
      <c r="Y81" t="str">
        <f>IF(W81="","No",IF(W81&lt;Parametros!$B$4,"Sí","No"))</f>
        <v>No</v>
      </c>
      <c r="Z81" s="14" t="str">
        <f t="shared" si="17"/>
        <v/>
      </c>
      <c r="AA81" t="str">
        <f>IF(F81&gt;Parametros!$B$7,"Sí","No")</f>
        <v>Sí</v>
      </c>
      <c r="AB81" s="15">
        <f>VLOOKUP(YEAR(D81),Parametros!$A$11:$B$21,2,FALSE)</f>
        <v>0.02</v>
      </c>
      <c r="AC81" t="str">
        <f t="shared" si="18"/>
        <v>Sí</v>
      </c>
      <c r="AD81" t="str">
        <f>IF(N81="ruptura piso Donchian",IF(T81&gt;-Parametros!$B$6,"Sí","No"),"")</f>
        <v/>
      </c>
      <c r="AE81" s="15">
        <f>IF(J81="","",(L81*(1-Parametros!$B$32))/(G81*(1+Parametros!$B$32))-1)</f>
        <v>-2.0891622867800219E-3</v>
      </c>
      <c r="AF81" s="15">
        <f t="shared" si="19"/>
        <v>3.999642636125067E-3</v>
      </c>
    </row>
    <row r="82" spans="1:32" x14ac:dyDescent="0.3">
      <c r="A82">
        <f t="shared" si="10"/>
        <v>79</v>
      </c>
      <c r="B82" cm="1">
        <f t="array" ref="B82">IFERROR(_xlfn.AGGREGATE(15,6,ROW('Motivos detalle'!$C$2:$C$274)/('Motivos detalle'!$C$2:$C$274="ENTRA"),A82),"")</f>
        <v>156</v>
      </c>
      <c r="C82" s="16" t="str" cm="1">
        <f t="array" ref="C82">INDEX('Motivos detalle'!$B:$B,$B82)</f>
        <v>XLRE</v>
      </c>
      <c r="D82" s="17" cm="1">
        <f t="array" ref="D82">INDEX('Motivos detalle'!$A:$A,$B82)</f>
        <v>44648</v>
      </c>
      <c r="E82" s="16" cm="1">
        <f t="array" ref="E82">INDEX('Motivos detalle'!$E:$E,$B82)</f>
        <v>2</v>
      </c>
      <c r="F82" s="18" cm="1">
        <f t="array" ref="F82">INDEX('Motivos detalle'!$F:$F,$B82)</f>
        <v>0.2306</v>
      </c>
      <c r="G82" s="19" cm="1">
        <f t="array" ref="G82">INDEX('Motivos detalle'!$G:$G,$B82)</f>
        <v>41.19</v>
      </c>
      <c r="H82" s="19" cm="1">
        <f t="array" ref="H82">INDEX('Motivos detalle'!$H:$H,$B82)</f>
        <v>40.75</v>
      </c>
      <c r="I82" s="18">
        <f t="shared" si="11"/>
        <v>1.0797546012269787E-2</v>
      </c>
      <c r="J82" s="16" cm="1">
        <f t="array" ref="J82">IFERROR(_xlfn.AGGREGATE(15,6,ROW('Motivos detalle'!$C$2:$C$274)/(('Motivos detalle'!$C$2:$C$274="SALE")*('Motivos detalle'!$B$2:$B$274=C82)*(ROW('Motivos detalle'!$C$2:$C$274)&gt;B82)),1),"")</f>
        <v>159</v>
      </c>
      <c r="K82" s="17" cm="1">
        <f t="array" ref="K82">IF($J82="","",INDEX('Motivos detalle'!$A:$A,$J82))</f>
        <v>44678</v>
      </c>
      <c r="L82" s="19" cm="1">
        <f t="array" ref="L82">IF($J82="","",INDEX('Motivos detalle'!$G:$G,$J82))</f>
        <v>41.49</v>
      </c>
      <c r="M82" s="19" cm="1">
        <f t="array" ref="M82">IF($J82="","",INDEX('Motivos detalle'!$H:$H,$J82))</f>
        <v>41.5</v>
      </c>
      <c r="N82" s="16" t="str" cm="1">
        <f t="array" ref="N82">IF($J82="","Abierto",INDEX('Motivos detalle'!$D:$D,$J82))</f>
        <v>ruptura piso Donchian</v>
      </c>
      <c r="O82" s="16" cm="1">
        <f t="array" ref="O82">IF($J82="","",INDEX('Motivos detalle'!$E:$E,$J82))</f>
        <v>3</v>
      </c>
      <c r="P82">
        <f t="shared" si="12"/>
        <v>30</v>
      </c>
      <c r="Q82" s="14">
        <f t="shared" si="13"/>
        <v>7.2833211944647314E-3</v>
      </c>
      <c r="R82" t="str">
        <f t="shared" si="14"/>
        <v>Ganador</v>
      </c>
      <c r="S82" t="str">
        <f>VLOOKUP(F82,Parametros!$A$25:$B$29,2,TRUE)</f>
        <v>15% a 30%</v>
      </c>
      <c r="T82" s="14">
        <f t="shared" si="15"/>
        <v>-2.4096385542160537E-4</v>
      </c>
      <c r="U82" cm="1">
        <f t="array" ref="U82">IF(J82="","",IFERROR(_xlfn.AGGREGATE(15,6,ROW('Motivos detalle'!$C$2:$C$274)/(('Motivos detalle'!$C$2:$C$274="ENTRA")*('Motivos detalle'!$B$2:$B$274=C82)*(ROW('Motivos detalle'!$C$2:$C$274)&gt;J82)),1),""))</f>
        <v>213</v>
      </c>
      <c r="V82" s="17" cm="1">
        <f t="array" ref="V82">IF(U82="","",INDEX('Motivos detalle'!$A:$A,U82))</f>
        <v>45545</v>
      </c>
      <c r="W82">
        <f t="shared" si="16"/>
        <v>867</v>
      </c>
      <c r="X82" s="19" cm="1">
        <f t="array" ref="X82">IF(U82="","",INDEX('Motivos detalle'!$G:$G,U82))</f>
        <v>42.02</v>
      </c>
      <c r="Y82" t="str">
        <f>IF(W82="","No",IF(W82&lt;Parametros!$B$4,"Sí","No"))</f>
        <v>No</v>
      </c>
      <c r="Z82" s="14" t="str">
        <f t="shared" si="17"/>
        <v/>
      </c>
      <c r="AA82" t="str">
        <f>IF(F82&gt;Parametros!$B$7,"Sí","No")</f>
        <v>Sí</v>
      </c>
      <c r="AB82" s="15">
        <f>VLOOKUP(YEAR(D82),Parametros!$A$11:$B$21,2,FALSE)</f>
        <v>0.02</v>
      </c>
      <c r="AC82" t="str">
        <f t="shared" si="18"/>
        <v>Sí</v>
      </c>
      <c r="AD82" t="str">
        <f>IF(N82="ruptura piso Donchian",IF(T82&gt;-Parametros!$B$6,"Sí","No"),"")</f>
        <v>Sí</v>
      </c>
      <c r="AE82" s="15">
        <f>IF(J82="","",(L82*(1-Parametros!$B$32))/(G82*(1+Parametros!$B$32))-1)</f>
        <v>3.2622300918920821E-3</v>
      </c>
      <c r="AF82" s="15">
        <f t="shared" si="19"/>
        <v>4.0210911025726492E-3</v>
      </c>
    </row>
    <row r="83" spans="1:32" x14ac:dyDescent="0.3">
      <c r="A83">
        <f t="shared" si="10"/>
        <v>80</v>
      </c>
      <c r="B83" cm="1">
        <f t="array" ref="B83">IFERROR(_xlfn.AGGREGATE(15,6,ROW('Motivos detalle'!$C$2:$C$274)/('Motivos detalle'!$C$2:$C$274="ENTRA"),A83),"")</f>
        <v>160</v>
      </c>
      <c r="C83" s="16" t="str" cm="1">
        <f t="array" ref="C83">INDEX('Motivos detalle'!$B:$B,$B83)</f>
        <v>XLE</v>
      </c>
      <c r="D83" s="17" cm="1">
        <f t="array" ref="D83">INDEX('Motivos detalle'!$A:$A,$B83)</f>
        <v>44687</v>
      </c>
      <c r="E83" s="16" cm="1">
        <f t="array" ref="E83">INDEX('Motivos detalle'!$E:$E,$B83)</f>
        <v>1</v>
      </c>
      <c r="F83" s="18" cm="1">
        <f t="array" ref="F83">INDEX('Motivos detalle'!$F:$F,$B83)</f>
        <v>0.61670000000000003</v>
      </c>
      <c r="G83" s="19" cm="1">
        <f t="array" ref="G83">INDEX('Motivos detalle'!$G:$G,$B83)</f>
        <v>35.770000000000003</v>
      </c>
      <c r="H83" s="19" cm="1">
        <f t="array" ref="H83">INDEX('Motivos detalle'!$H:$H,$B83)</f>
        <v>35.549999999999997</v>
      </c>
      <c r="I83" s="18">
        <f t="shared" si="11"/>
        <v>6.1884669479608245E-3</v>
      </c>
      <c r="J83" s="16" cm="1">
        <f t="array" ref="J83">IFERROR(_xlfn.AGGREGATE(15,6,ROW('Motivos detalle'!$C$2:$C$274)/(('Motivos detalle'!$C$2:$C$274="SALE")*('Motivos detalle'!$B$2:$B$274=C83)*(ROW('Motivos detalle'!$C$2:$C$274)&gt;B83)),1),"")</f>
        <v>165</v>
      </c>
      <c r="K83" s="17" cm="1">
        <f t="array" ref="K83">IF($J83="","",INDEX('Motivos detalle'!$A:$A,$J83))</f>
        <v>44728</v>
      </c>
      <c r="L83" s="19" cm="1">
        <f t="array" ref="L83">IF($J83="","",INDEX('Motivos detalle'!$G:$G,$J83))</f>
        <v>33.54</v>
      </c>
      <c r="M83" s="19" cm="1">
        <f t="array" ref="M83">IF($J83="","",INDEX('Motivos detalle'!$H:$H,$J83))</f>
        <v>34.450000000000003</v>
      </c>
      <c r="N83" s="16" t="str" cm="1">
        <f t="array" ref="N83">IF($J83="","Abierto",INDEX('Motivos detalle'!$D:$D,$J83))</f>
        <v>ruptura piso Donchian</v>
      </c>
      <c r="O83" s="16" cm="1">
        <f t="array" ref="O83">IF($J83="","",INDEX('Motivos detalle'!$E:$E,$J83))</f>
        <v>1</v>
      </c>
      <c r="P83">
        <f t="shared" si="12"/>
        <v>41</v>
      </c>
      <c r="Q83" s="14">
        <f t="shared" si="13"/>
        <v>-6.2342745317305104E-2</v>
      </c>
      <c r="R83" t="str">
        <f t="shared" si="14"/>
        <v>Perdedor</v>
      </c>
      <c r="S83" t="str">
        <f>VLOOKUP(F83,Parametros!$A$25:$B$29,2,TRUE)</f>
        <v>Más de 30%</v>
      </c>
      <c r="T83" s="14">
        <f t="shared" si="15"/>
        <v>-2.6415094339622747E-2</v>
      </c>
      <c r="U83" cm="1">
        <f t="array" ref="U83">IF(J83="","",IFERROR(_xlfn.AGGREGATE(15,6,ROW('Motivos detalle'!$C$2:$C$274)/(('Motivos detalle'!$C$2:$C$274="ENTRA")*('Motivos detalle'!$B$2:$B$274=C83)*(ROW('Motivos detalle'!$C$2:$C$274)&gt;J83)),1),""))</f>
        <v>168</v>
      </c>
      <c r="V83" s="17" cm="1">
        <f t="array" ref="V83">IF(U83="","",INDEX('Motivos detalle'!$A:$A,U83))</f>
        <v>44771</v>
      </c>
      <c r="W83">
        <f t="shared" si="16"/>
        <v>43</v>
      </c>
      <c r="X83" s="19" cm="1">
        <f t="array" ref="X83">IF(U83="","",INDEX('Motivos detalle'!$G:$G,U83))</f>
        <v>34.21</v>
      </c>
      <c r="Y83" t="str">
        <f>IF(W83="","No",IF(W83&lt;Parametros!$B$4,"Sí","No"))</f>
        <v>No</v>
      </c>
      <c r="Z83" s="14" t="str">
        <f t="shared" si="17"/>
        <v/>
      </c>
      <c r="AA83" t="str">
        <f>IF(F83&gt;Parametros!$B$7,"Sí","No")</f>
        <v>Sí</v>
      </c>
      <c r="AB83" s="15">
        <f>VLOOKUP(YEAR(D83),Parametros!$A$11:$B$21,2,FALSE)</f>
        <v>0.02</v>
      </c>
      <c r="AC83" t="str">
        <f t="shared" si="18"/>
        <v>Sí</v>
      </c>
      <c r="AD83" t="str">
        <f>IF(N83="ruptura piso Donchian",IF(T83&gt;-Parametros!$B$6,"Sí","No"),"")</f>
        <v>No</v>
      </c>
      <c r="AE83" s="15">
        <f>IF(J83="","",(L83*(1-Parametros!$B$32))/(G83*(1+Parametros!$B$32))-1)</f>
        <v>-6.6085888050569253E-2</v>
      </c>
      <c r="AF83" s="15">
        <f t="shared" si="19"/>
        <v>3.7431427332641487E-3</v>
      </c>
    </row>
    <row r="84" spans="1:32" x14ac:dyDescent="0.3">
      <c r="A84">
        <f t="shared" si="10"/>
        <v>81</v>
      </c>
      <c r="B84" cm="1">
        <f t="array" ref="B84">IFERROR(_xlfn.AGGREGATE(15,6,ROW('Motivos detalle'!$C$2:$C$274)/('Motivos detalle'!$C$2:$C$274="ENTRA"),A84),"")</f>
        <v>161</v>
      </c>
      <c r="C84" s="16" t="str" cm="1">
        <f t="array" ref="C84">INDEX('Motivos detalle'!$B:$B,$B84)</f>
        <v>XLU</v>
      </c>
      <c r="D84" s="17" cm="1">
        <f t="array" ref="D84">INDEX('Motivos detalle'!$A:$A,$B84)</f>
        <v>44708</v>
      </c>
      <c r="E84" s="16" cm="1">
        <f t="array" ref="E84">INDEX('Motivos detalle'!$E:$E,$B84)</f>
        <v>2</v>
      </c>
      <c r="F84" s="18" cm="1">
        <f t="array" ref="F84">INDEX('Motivos detalle'!$F:$F,$B84)</f>
        <v>0.19159999999999999</v>
      </c>
      <c r="G84" s="19" cm="1">
        <f t="array" ref="G84">INDEX('Motivos detalle'!$G:$G,$B84)</f>
        <v>33.14</v>
      </c>
      <c r="H84" s="19" cm="1">
        <f t="array" ref="H84">INDEX('Motivos detalle'!$H:$H,$B84)</f>
        <v>32.869999999999997</v>
      </c>
      <c r="I84" s="18">
        <f t="shared" si="11"/>
        <v>8.2141770611501297E-3</v>
      </c>
      <c r="J84" s="16" cm="1">
        <f t="array" ref="J84">IFERROR(_xlfn.AGGREGATE(15,6,ROW('Motivos detalle'!$C$2:$C$274)/(('Motivos detalle'!$C$2:$C$274="SALE")*('Motivos detalle'!$B$2:$B$274=C84)*(ROW('Motivos detalle'!$C$2:$C$274)&gt;B84)),1),"")</f>
        <v>163</v>
      </c>
      <c r="K84" s="17" cm="1">
        <f t="array" ref="K84">IF($J84="","",INDEX('Motivos detalle'!$A:$A,$J84))</f>
        <v>44725</v>
      </c>
      <c r="L84" s="19" cm="1">
        <f t="array" ref="L84">IF($J84="","",INDEX('Motivos detalle'!$G:$G,$J84))</f>
        <v>29.93</v>
      </c>
      <c r="M84" s="19" cm="1">
        <f t="array" ref="M84">IF($J84="","",INDEX('Motivos detalle'!$H:$H,$J84))</f>
        <v>30.91</v>
      </c>
      <c r="N84" s="16" t="str" cm="1">
        <f t="array" ref="N84">IF($J84="","Abierto",INDEX('Motivos detalle'!$D:$D,$J84))</f>
        <v>ruptura piso Donchian</v>
      </c>
      <c r="O84" s="16" cm="1">
        <f t="array" ref="O84">IF($J84="","",INDEX('Motivos detalle'!$E:$E,$J84))</f>
        <v>2</v>
      </c>
      <c r="P84">
        <f t="shared" si="12"/>
        <v>17</v>
      </c>
      <c r="Q84" s="14">
        <f t="shared" si="13"/>
        <v>-9.686179843089926E-2</v>
      </c>
      <c r="R84" t="str">
        <f t="shared" si="14"/>
        <v>Perdedor</v>
      </c>
      <c r="S84" t="str">
        <f>VLOOKUP(F84,Parametros!$A$25:$B$29,2,TRUE)</f>
        <v>15% a 30%</v>
      </c>
      <c r="T84" s="14">
        <f t="shared" si="15"/>
        <v>-3.1704949854416076E-2</v>
      </c>
      <c r="U84" cm="1">
        <f t="array" ref="U84">IF(J84="","",IFERROR(_xlfn.AGGREGATE(15,6,ROW('Motivos detalle'!$C$2:$C$274)/(('Motivos detalle'!$C$2:$C$274="ENTRA")*('Motivos detalle'!$B$2:$B$274=C84)*(ROW('Motivos detalle'!$C$2:$C$274)&gt;J84)),1),""))</f>
        <v>166</v>
      </c>
      <c r="V84" s="17" cm="1">
        <f t="array" ref="V84">IF(U84="","",INDEX('Motivos detalle'!$A:$A,U84))</f>
        <v>44770</v>
      </c>
      <c r="W84">
        <f t="shared" si="16"/>
        <v>45</v>
      </c>
      <c r="X84" s="19" cm="1">
        <f t="array" ref="X84">IF(U84="","",INDEX('Motivos detalle'!$G:$G,U84))</f>
        <v>32.5</v>
      </c>
      <c r="Y84" t="str">
        <f>IF(W84="","No",IF(W84&lt;Parametros!$B$4,"Sí","No"))</f>
        <v>No</v>
      </c>
      <c r="Z84" s="14" t="str">
        <f t="shared" si="17"/>
        <v/>
      </c>
      <c r="AA84" t="str">
        <f>IF(F84&gt;Parametros!$B$7,"Sí","No")</f>
        <v>Sí</v>
      </c>
      <c r="AB84" s="15">
        <f>VLOOKUP(YEAR(D84),Parametros!$A$11:$B$21,2,FALSE)</f>
        <v>0.02</v>
      </c>
      <c r="AC84" t="str">
        <f t="shared" si="18"/>
        <v>Sí</v>
      </c>
      <c r="AD84" t="str">
        <f>IF(N84="ruptura piso Donchian",IF(T84&gt;-Parametros!$B$6,"Sí","No"),"")</f>
        <v>No</v>
      </c>
      <c r="AE84" s="15">
        <f>IF(J84="","",(L84*(1-Parametros!$B$32))/(G84*(1+Parametros!$B$32))-1)</f>
        <v>-0.1004671405529316</v>
      </c>
      <c r="AF84" s="15">
        <f t="shared" si="19"/>
        <v>3.6053421220323401E-3</v>
      </c>
    </row>
    <row r="85" spans="1:32" x14ac:dyDescent="0.3">
      <c r="A85">
        <f t="shared" si="10"/>
        <v>82</v>
      </c>
      <c r="B85" cm="1">
        <f t="array" ref="B85">IFERROR(_xlfn.AGGREGATE(15,6,ROW('Motivos detalle'!$C$2:$C$274)/('Motivos detalle'!$C$2:$C$274="ENTRA"),A85),"")</f>
        <v>162</v>
      </c>
      <c r="C85" s="16" t="str" cm="1">
        <f t="array" ref="C85">INDEX('Motivos detalle'!$B:$B,$B85)</f>
        <v>XLV</v>
      </c>
      <c r="D85" s="17" cm="1">
        <f t="array" ref="D85">INDEX('Motivos detalle'!$A:$A,$B85)</f>
        <v>44708</v>
      </c>
      <c r="E85" s="16" cm="1">
        <f t="array" ref="E85">INDEX('Motivos detalle'!$E:$E,$B85)</f>
        <v>3</v>
      </c>
      <c r="F85" s="18" cm="1">
        <f t="array" ref="F85">INDEX('Motivos detalle'!$F:$F,$B85)</f>
        <v>0.1</v>
      </c>
      <c r="G85" s="19" cm="1">
        <f t="array" ref="G85">INDEX('Motivos detalle'!$G:$G,$B85)</f>
        <v>124.89</v>
      </c>
      <c r="H85" s="19" cm="1">
        <f t="array" ref="H85">INDEX('Motivos detalle'!$H:$H,$B85)</f>
        <v>124.17</v>
      </c>
      <c r="I85" s="18">
        <f t="shared" si="11"/>
        <v>5.7985020536361898E-3</v>
      </c>
      <c r="J85" s="16" cm="1">
        <f t="array" ref="J85">IFERROR(_xlfn.AGGREGATE(15,6,ROW('Motivos detalle'!$C$2:$C$274)/(('Motivos detalle'!$C$2:$C$274="SALE")*('Motivos detalle'!$B$2:$B$274=C85)*(ROW('Motivos detalle'!$C$2:$C$274)&gt;B85)),1),"")</f>
        <v>164</v>
      </c>
      <c r="K85" s="17" cm="1">
        <f t="array" ref="K85">IF($J85="","",INDEX('Motivos detalle'!$A:$A,$J85))</f>
        <v>44725</v>
      </c>
      <c r="L85" s="19" cm="1">
        <f t="array" ref="L85">IF($J85="","",INDEX('Motivos detalle'!$G:$G,$J85))</f>
        <v>113.4</v>
      </c>
      <c r="M85" s="19" cm="1">
        <f t="array" ref="M85">IF($J85="","",INDEX('Motivos detalle'!$H:$H,$J85))</f>
        <v>116.48</v>
      </c>
      <c r="N85" s="16" t="str" cm="1">
        <f t="array" ref="N85">IF($J85="","Abierto",INDEX('Motivos detalle'!$D:$D,$J85))</f>
        <v>ruptura piso Donchian</v>
      </c>
      <c r="O85" s="16" cm="1">
        <f t="array" ref="O85">IF($J85="","",INDEX('Motivos detalle'!$E:$E,$J85))</f>
        <v>4</v>
      </c>
      <c r="P85">
        <f t="shared" si="12"/>
        <v>17</v>
      </c>
      <c r="Q85" s="14">
        <f t="shared" si="13"/>
        <v>-9.2000960845543989E-2</v>
      </c>
      <c r="R85" t="str">
        <f t="shared" si="14"/>
        <v>Perdedor</v>
      </c>
      <c r="S85" t="str">
        <f>VLOOKUP(F85,Parametros!$A$25:$B$29,2,TRUE)</f>
        <v>5% a 15%</v>
      </c>
      <c r="T85" s="14">
        <f t="shared" si="15"/>
        <v>-2.6442307692307709E-2</v>
      </c>
      <c r="U85" cm="1">
        <f t="array" ref="U85">IF(J85="","",IFERROR(_xlfn.AGGREGATE(15,6,ROW('Motivos detalle'!$C$2:$C$274)/(('Motivos detalle'!$C$2:$C$274="ENTRA")*('Motivos detalle'!$B$2:$B$274=C85)*(ROW('Motivos detalle'!$C$2:$C$274)&gt;J85)),1),""))</f>
        <v>173</v>
      </c>
      <c r="V85" s="17" cm="1">
        <f t="array" ref="V85">IF(U85="","",INDEX('Motivos detalle'!$A:$A,U85))</f>
        <v>44858</v>
      </c>
      <c r="W85">
        <f t="shared" si="16"/>
        <v>133</v>
      </c>
      <c r="X85" s="19" cm="1">
        <f t="array" ref="X85">IF(U85="","",INDEX('Motivos detalle'!$G:$G,U85))</f>
        <v>121.18</v>
      </c>
      <c r="Y85" t="str">
        <f>IF(W85="","No",IF(W85&lt;Parametros!$B$4,"Sí","No"))</f>
        <v>No</v>
      </c>
      <c r="Z85" s="14" t="str">
        <f t="shared" si="17"/>
        <v/>
      </c>
      <c r="AA85" t="str">
        <f>IF(F85&gt;Parametros!$B$7,"Sí","No")</f>
        <v>Sí</v>
      </c>
      <c r="AB85" s="15">
        <f>VLOOKUP(YEAR(D85),Parametros!$A$11:$B$21,2,FALSE)</f>
        <v>0.02</v>
      </c>
      <c r="AC85" t="str">
        <f t="shared" si="18"/>
        <v>Sí</v>
      </c>
      <c r="AD85" t="str">
        <f>IF(N85="ruptura piso Donchian",IF(T85&gt;-Parametros!$B$6,"Sí","No"),"")</f>
        <v>No</v>
      </c>
      <c r="AE85" s="15">
        <f>IF(J85="","",(L85*(1-Parametros!$B$32))/(G85*(1+Parametros!$B$32))-1)</f>
        <v>-9.5625707508835256E-2</v>
      </c>
      <c r="AF85" s="15">
        <f t="shared" si="19"/>
        <v>3.6247466632912673E-3</v>
      </c>
    </row>
    <row r="86" spans="1:32" x14ac:dyDescent="0.3">
      <c r="A86">
        <f t="shared" si="10"/>
        <v>83</v>
      </c>
      <c r="B86" cm="1">
        <f t="array" ref="B86">IFERROR(_xlfn.AGGREGATE(15,6,ROW('Motivos detalle'!$C$2:$C$274)/('Motivos detalle'!$C$2:$C$274="ENTRA"),A86),"")</f>
        <v>166</v>
      </c>
      <c r="C86" s="16" t="str" cm="1">
        <f t="array" ref="C86">INDEX('Motivos detalle'!$B:$B,$B86)</f>
        <v>XLU</v>
      </c>
      <c r="D86" s="17" cm="1">
        <f t="array" ref="D86">INDEX('Motivos detalle'!$A:$A,$B86)</f>
        <v>44770</v>
      </c>
      <c r="E86" s="16" cm="1">
        <f t="array" ref="E86">INDEX('Motivos detalle'!$E:$E,$B86)</f>
        <v>2</v>
      </c>
      <c r="F86" s="18" cm="1">
        <f t="array" ref="F86">INDEX('Motivos detalle'!$F:$F,$B86)</f>
        <v>0.13869999999999999</v>
      </c>
      <c r="G86" s="19" cm="1">
        <f t="array" ref="G86">INDEX('Motivos detalle'!$G:$G,$B86)</f>
        <v>32.5</v>
      </c>
      <c r="H86" s="19" cm="1">
        <f t="array" ref="H86">INDEX('Motivos detalle'!$H:$H,$B86)</f>
        <v>31.9</v>
      </c>
      <c r="I86" s="18">
        <f t="shared" si="11"/>
        <v>1.8808777429467183E-2</v>
      </c>
      <c r="J86" s="16" cm="1">
        <f t="array" ref="J86">IFERROR(_xlfn.AGGREGATE(15,6,ROW('Motivos detalle'!$C$2:$C$274)/(('Motivos detalle'!$C$2:$C$274="SALE")*('Motivos detalle'!$B$2:$B$274=C86)*(ROW('Motivos detalle'!$C$2:$C$274)&gt;B86)),1),"")</f>
        <v>170</v>
      </c>
      <c r="K86" s="17" cm="1">
        <f t="array" ref="K86">IF($J86="","",INDEX('Motivos detalle'!$A:$A,$J86))</f>
        <v>44825</v>
      </c>
      <c r="L86" s="19" cm="1">
        <f t="array" ref="L86">IF($J86="","",INDEX('Motivos detalle'!$G:$G,$J86))</f>
        <v>32.51</v>
      </c>
      <c r="M86" s="19" cm="1">
        <f t="array" ref="M86">IF($J86="","",INDEX('Motivos detalle'!$H:$H,$J86))</f>
        <v>32.72</v>
      </c>
      <c r="N86" s="16" t="str" cm="1">
        <f t="array" ref="N86">IF($J86="","Abierto",INDEX('Motivos detalle'!$D:$D,$J86))</f>
        <v>ruptura piso Donchian</v>
      </c>
      <c r="O86" s="16" cm="1">
        <f t="array" ref="O86">IF($J86="","",INDEX('Motivos detalle'!$E:$E,$J86))</f>
        <v>2</v>
      </c>
      <c r="P86">
        <f t="shared" si="12"/>
        <v>55</v>
      </c>
      <c r="Q86" s="14">
        <f t="shared" si="13"/>
        <v>3.0769230769234213E-4</v>
      </c>
      <c r="R86" t="str">
        <f t="shared" si="14"/>
        <v>Ganador</v>
      </c>
      <c r="S86" t="str">
        <f>VLOOKUP(F86,Parametros!$A$25:$B$29,2,TRUE)</f>
        <v>5% a 15%</v>
      </c>
      <c r="T86" s="14">
        <f t="shared" si="15"/>
        <v>-6.4180929095354333E-3</v>
      </c>
      <c r="U86" cm="1">
        <f t="array" ref="U86">IF(J86="","",IFERROR(_xlfn.AGGREGATE(15,6,ROW('Motivos detalle'!$C$2:$C$274)/(('Motivos detalle'!$C$2:$C$274="ENTRA")*('Motivos detalle'!$B$2:$B$274=C86)*(ROW('Motivos detalle'!$C$2:$C$274)&gt;J86)),1),""))</f>
        <v>229</v>
      </c>
      <c r="V86" s="17" cm="1">
        <f t="array" ref="V86">IF(U86="","",INDEX('Motivos detalle'!$A:$A,U86))</f>
        <v>45678</v>
      </c>
      <c r="W86">
        <f t="shared" si="16"/>
        <v>853</v>
      </c>
      <c r="X86" s="19" cm="1">
        <f t="array" ref="X86">IF(U86="","",INDEX('Motivos detalle'!$G:$G,U86))</f>
        <v>38.4</v>
      </c>
      <c r="Y86" t="str">
        <f>IF(W86="","No",IF(W86&lt;Parametros!$B$4,"Sí","No"))</f>
        <v>No</v>
      </c>
      <c r="Z86" s="14" t="str">
        <f t="shared" si="17"/>
        <v/>
      </c>
      <c r="AA86" t="str">
        <f>IF(F86&gt;Parametros!$B$7,"Sí","No")</f>
        <v>Sí</v>
      </c>
      <c r="AB86" s="15">
        <f>VLOOKUP(YEAR(D86),Parametros!$A$11:$B$21,2,FALSE)</f>
        <v>0.02</v>
      </c>
      <c r="AC86" t="str">
        <f t="shared" si="18"/>
        <v>Sí</v>
      </c>
      <c r="AD86" t="str">
        <f>IF(N86="ruptura piso Donchian",IF(T86&gt;-Parametros!$B$6,"Sí","No"),"")</f>
        <v>No</v>
      </c>
      <c r="AE86" s="15">
        <f>IF(J86="","",(L86*(1-Parametros!$B$32))/(G86*(1+Parametros!$B$32))-1)</f>
        <v>-3.6855519729770414E-3</v>
      </c>
      <c r="AF86" s="15">
        <f t="shared" si="19"/>
        <v>3.9932442806693835E-3</v>
      </c>
    </row>
    <row r="87" spans="1:32" x14ac:dyDescent="0.3">
      <c r="A87">
        <f t="shared" si="10"/>
        <v>84</v>
      </c>
      <c r="B87" cm="1">
        <f t="array" ref="B87">IFERROR(_xlfn.AGGREGATE(15,6,ROW('Motivos detalle'!$C$2:$C$274)/('Motivos detalle'!$C$2:$C$274="ENTRA"),A87),"")</f>
        <v>167</v>
      </c>
      <c r="C87" s="16" t="str" cm="1">
        <f t="array" ref="C87">INDEX('Motivos detalle'!$B:$B,$B87)</f>
        <v>XLP</v>
      </c>
      <c r="D87" s="17" cm="1">
        <f t="array" ref="D87">INDEX('Motivos detalle'!$A:$A,$B87)</f>
        <v>44770</v>
      </c>
      <c r="E87" s="16" cm="1">
        <f t="array" ref="E87">INDEX('Motivos detalle'!$E:$E,$B87)</f>
        <v>3</v>
      </c>
      <c r="F87" s="18" cm="1">
        <f t="array" ref="F87">INDEX('Motivos detalle'!$F:$F,$B87)</f>
        <v>8.3500000000000005E-2</v>
      </c>
      <c r="G87" s="19" cm="1">
        <f t="array" ref="G87">INDEX('Motivos detalle'!$G:$G,$B87)</f>
        <v>67.45</v>
      </c>
      <c r="H87" s="19" cm="1">
        <f t="array" ref="H87">INDEX('Motivos detalle'!$H:$H,$B87)</f>
        <v>66.58</v>
      </c>
      <c r="I87" s="18">
        <f t="shared" si="11"/>
        <v>1.3066987083208303E-2</v>
      </c>
      <c r="J87" s="16" cm="1">
        <f t="array" ref="J87">IFERROR(_xlfn.AGGREGATE(15,6,ROW('Motivos detalle'!$C$2:$C$274)/(('Motivos detalle'!$C$2:$C$274="SALE")*('Motivos detalle'!$B$2:$B$274=C87)*(ROW('Motivos detalle'!$C$2:$C$274)&gt;B87)),1),"")</f>
        <v>169</v>
      </c>
      <c r="K87" s="17" cm="1">
        <f t="array" ref="K87">IF($J87="","",INDEX('Motivos detalle'!$A:$A,$J87))</f>
        <v>44803</v>
      </c>
      <c r="L87" s="19" cm="1">
        <f t="array" ref="L87">IF($J87="","",INDEX('Motivos detalle'!$G:$G,$J87))</f>
        <v>66.099999999999994</v>
      </c>
      <c r="M87" s="19" cm="1">
        <f t="array" ref="M87">IF($J87="","",INDEX('Motivos detalle'!$H:$H,$J87))</f>
        <v>66.33</v>
      </c>
      <c r="N87" s="16" t="str" cm="1">
        <f t="array" ref="N87">IF($J87="","Abierto",INDEX('Motivos detalle'!$D:$D,$J87))</f>
        <v>ruptura piso Donchian</v>
      </c>
      <c r="O87" s="16" cm="1">
        <f t="array" ref="O87">IF($J87="","",INDEX('Motivos detalle'!$E:$E,$J87))</f>
        <v>3</v>
      </c>
      <c r="P87">
        <f t="shared" si="12"/>
        <v>33</v>
      </c>
      <c r="Q87" s="14">
        <f t="shared" si="13"/>
        <v>-2.0014825796886737E-2</v>
      </c>
      <c r="R87" t="str">
        <f t="shared" si="14"/>
        <v>Perdedor</v>
      </c>
      <c r="S87" t="str">
        <f>VLOOKUP(F87,Parametros!$A$25:$B$29,2,TRUE)</f>
        <v>5% a 15%</v>
      </c>
      <c r="T87" s="14">
        <f t="shared" si="15"/>
        <v>-3.4675109301975926E-3</v>
      </c>
      <c r="U87" cm="1">
        <f t="array" ref="U87">IF(J87="","",IFERROR(_xlfn.AGGREGATE(15,6,ROW('Motivos detalle'!$C$2:$C$274)/(('Motivos detalle'!$C$2:$C$274="ENTRA")*('Motivos detalle'!$B$2:$B$274=C87)*(ROW('Motivos detalle'!$C$2:$C$274)&gt;J87)),1),""))</f>
        <v>174</v>
      </c>
      <c r="V87" s="17" cm="1">
        <f t="array" ref="V87">IF(U87="","",INDEX('Motivos detalle'!$A:$A,U87))</f>
        <v>44859</v>
      </c>
      <c r="W87">
        <f t="shared" si="16"/>
        <v>56</v>
      </c>
      <c r="X87" s="19" cm="1">
        <f t="array" ref="X87">IF(U87="","",INDEX('Motivos detalle'!$G:$G,U87))</f>
        <v>64.27</v>
      </c>
      <c r="Y87" t="str">
        <f>IF(W87="","No",IF(W87&lt;Parametros!$B$4,"Sí","No"))</f>
        <v>No</v>
      </c>
      <c r="Z87" s="14" t="str">
        <f t="shared" si="17"/>
        <v/>
      </c>
      <c r="AA87" t="str">
        <f>IF(F87&gt;Parametros!$B$7,"Sí","No")</f>
        <v>Sí</v>
      </c>
      <c r="AB87" s="15">
        <f>VLOOKUP(YEAR(D87),Parametros!$A$11:$B$21,2,FALSE)</f>
        <v>0.02</v>
      </c>
      <c r="AC87" t="str">
        <f t="shared" si="18"/>
        <v>Sí</v>
      </c>
      <c r="AD87" t="str">
        <f>IF(N87="ruptura piso Donchian",IF(T87&gt;-Parametros!$B$6,"Sí","No"),"")</f>
        <v>No</v>
      </c>
      <c r="AE87" s="15">
        <f>IF(J87="","",(L87*(1-Parametros!$B$32))/(G87*(1+Parametros!$B$32))-1)</f>
        <v>-2.3926942260771411E-2</v>
      </c>
      <c r="AF87" s="15">
        <f t="shared" si="19"/>
        <v>3.9121164638846739E-3</v>
      </c>
    </row>
    <row r="88" spans="1:32" x14ac:dyDescent="0.3">
      <c r="A88">
        <f t="shared" si="10"/>
        <v>85</v>
      </c>
      <c r="B88" cm="1">
        <f t="array" ref="B88">IFERROR(_xlfn.AGGREGATE(15,6,ROW('Motivos detalle'!$C$2:$C$274)/('Motivos detalle'!$C$2:$C$274="ENTRA"),A88),"")</f>
        <v>168</v>
      </c>
      <c r="C88" s="16" t="str" cm="1">
        <f t="array" ref="C88">INDEX('Motivos detalle'!$B:$B,$B88)</f>
        <v>XLE</v>
      </c>
      <c r="D88" s="17" cm="1">
        <f t="array" ref="D88">INDEX('Motivos detalle'!$A:$A,$B88)</f>
        <v>44771</v>
      </c>
      <c r="E88" s="16" cm="1">
        <f t="array" ref="E88">INDEX('Motivos detalle'!$E:$E,$B88)</f>
        <v>1</v>
      </c>
      <c r="F88" s="18" cm="1">
        <f t="array" ref="F88">INDEX('Motivos detalle'!$F:$F,$B88)</f>
        <v>0.63539999999999996</v>
      </c>
      <c r="G88" s="19" cm="1">
        <f t="array" ref="G88">INDEX('Motivos detalle'!$G:$G,$B88)</f>
        <v>34.21</v>
      </c>
      <c r="H88" s="19" cm="1">
        <f t="array" ref="H88">INDEX('Motivos detalle'!$H:$H,$B88)</f>
        <v>33.130000000000003</v>
      </c>
      <c r="I88" s="18">
        <f t="shared" si="11"/>
        <v>3.2598853003320105E-2</v>
      </c>
      <c r="J88" s="16" cm="1">
        <f t="array" ref="J88">IFERROR(_xlfn.AGGREGATE(15,6,ROW('Motivos detalle'!$C$2:$C$274)/(('Motivos detalle'!$C$2:$C$274="SALE")*('Motivos detalle'!$B$2:$B$274=C88)*(ROW('Motivos detalle'!$C$2:$C$274)&gt;B88)),1),"")</f>
        <v>171</v>
      </c>
      <c r="K88" s="17" cm="1">
        <f t="array" ref="K88">IF($J88="","",INDEX('Motivos detalle'!$A:$A,$J88))</f>
        <v>44827</v>
      </c>
      <c r="L88" s="19" cm="1">
        <f t="array" ref="L88">IF($J88="","",INDEX('Motivos detalle'!$G:$G,$J88))</f>
        <v>31.08</v>
      </c>
      <c r="M88" s="19" cm="1">
        <f t="array" ref="M88">IF($J88="","",INDEX('Motivos detalle'!$H:$H,$J88))</f>
        <v>33.200000000000003</v>
      </c>
      <c r="N88" s="16" t="str" cm="1">
        <f t="array" ref="N88">IF($J88="","Abierto",INDEX('Motivos detalle'!$D:$D,$J88))</f>
        <v>ruptura piso Donchian</v>
      </c>
      <c r="O88" s="16" cm="1">
        <f t="array" ref="O88">IF($J88="","",INDEX('Motivos detalle'!$E:$E,$J88))</f>
        <v>1</v>
      </c>
      <c r="P88">
        <f t="shared" si="12"/>
        <v>56</v>
      </c>
      <c r="Q88" s="14">
        <f t="shared" si="13"/>
        <v>-9.1493715287927602E-2</v>
      </c>
      <c r="R88" t="str">
        <f t="shared" si="14"/>
        <v>Perdedor</v>
      </c>
      <c r="S88" t="str">
        <f>VLOOKUP(F88,Parametros!$A$25:$B$29,2,TRUE)</f>
        <v>Más de 30%</v>
      </c>
      <c r="T88" s="14">
        <f t="shared" si="15"/>
        <v>-6.3855421686747071E-2</v>
      </c>
      <c r="U88" cm="1">
        <f t="array" ref="U88">IF(J88="","",IFERROR(_xlfn.AGGREGATE(15,6,ROW('Motivos detalle'!$C$2:$C$274)/(('Motivos detalle'!$C$2:$C$274="ENTRA")*('Motivos detalle'!$B$2:$B$274=C88)*(ROW('Motivos detalle'!$C$2:$C$274)&gt;J88)),1),""))</f>
        <v>172</v>
      </c>
      <c r="V88" s="17" cm="1">
        <f t="array" ref="V88">IF(U88="","",INDEX('Motivos detalle'!$A:$A,U88))</f>
        <v>44840</v>
      </c>
      <c r="W88">
        <f t="shared" si="16"/>
        <v>13</v>
      </c>
      <c r="X88" s="19" cm="1">
        <f t="array" ref="X88">IF(U88="","",INDEX('Motivos detalle'!$G:$G,U88))</f>
        <v>36.36</v>
      </c>
      <c r="Y88" t="str">
        <f>IF(W88="","No",IF(W88&lt;Parametros!$B$4,"Sí","No"))</f>
        <v>No</v>
      </c>
      <c r="Z88" s="14" t="str">
        <f t="shared" si="17"/>
        <v/>
      </c>
      <c r="AA88" t="str">
        <f>IF(F88&gt;Parametros!$B$7,"Sí","No")</f>
        <v>Sí</v>
      </c>
      <c r="AB88" s="15">
        <f>VLOOKUP(YEAR(D88),Parametros!$A$11:$B$21,2,FALSE)</f>
        <v>0.02</v>
      </c>
      <c r="AC88" t="str">
        <f t="shared" si="18"/>
        <v>Sí</v>
      </c>
      <c r="AD88" t="str">
        <f>IF(N88="ruptura piso Donchian",IF(T88&gt;-Parametros!$B$6,"Sí","No"),"")</f>
        <v>No</v>
      </c>
      <c r="AE88" s="15">
        <f>IF(J88="","",(L88*(1-Parametros!$B$32))/(G88*(1+Parametros!$B$32))-1)</f>
        <v>-9.5120486883584654E-2</v>
      </c>
      <c r="AF88" s="15">
        <f t="shared" si="19"/>
        <v>3.6267715956570523E-3</v>
      </c>
    </row>
    <row r="89" spans="1:32" x14ac:dyDescent="0.3">
      <c r="A89">
        <f t="shared" si="10"/>
        <v>86</v>
      </c>
      <c r="B89" cm="1">
        <f t="array" ref="B89">IFERROR(_xlfn.AGGREGATE(15,6,ROW('Motivos detalle'!$C$2:$C$274)/('Motivos detalle'!$C$2:$C$274="ENTRA"),A89),"")</f>
        <v>172</v>
      </c>
      <c r="C89" s="16" t="str" cm="1">
        <f t="array" ref="C89">INDEX('Motivos detalle'!$B:$B,$B89)</f>
        <v>XLE</v>
      </c>
      <c r="D89" s="17" cm="1">
        <f t="array" ref="D89">INDEX('Motivos detalle'!$A:$A,$B89)</f>
        <v>44840</v>
      </c>
      <c r="E89" s="16" cm="1">
        <f t="array" ref="E89">INDEX('Motivos detalle'!$E:$E,$B89)</f>
        <v>1</v>
      </c>
      <c r="F89" s="18" cm="1">
        <f t="array" ref="F89">INDEX('Motivos detalle'!$F:$F,$B89)</f>
        <v>0.58250000000000002</v>
      </c>
      <c r="G89" s="19" cm="1">
        <f t="array" ref="G89">INDEX('Motivos detalle'!$G:$G,$B89)</f>
        <v>36.36</v>
      </c>
      <c r="H89" s="19" cm="1">
        <f t="array" ref="H89">INDEX('Motivos detalle'!$H:$H,$B89)</f>
        <v>36.200000000000003</v>
      </c>
      <c r="I89" s="18">
        <f t="shared" si="11"/>
        <v>4.4198895027622864E-3</v>
      </c>
      <c r="J89" s="16" cm="1">
        <f t="array" ref="J89">IFERROR(_xlfn.AGGREGATE(15,6,ROW('Motivos detalle'!$C$2:$C$274)/(('Motivos detalle'!$C$2:$C$274="SALE")*('Motivos detalle'!$B$2:$B$274=C89)*(ROW('Motivos detalle'!$C$2:$C$274)&gt;B89)),1),"")</f>
        <v>175</v>
      </c>
      <c r="K89" s="17" cm="1">
        <f t="array" ref="K89">IF($J89="","",INDEX('Motivos detalle'!$A:$A,$J89))</f>
        <v>44901</v>
      </c>
      <c r="L89" s="19" cm="1">
        <f t="array" ref="L89">IF($J89="","",INDEX('Motivos detalle'!$G:$G,$J89))</f>
        <v>37.630000000000003</v>
      </c>
      <c r="M89" s="19" cm="1">
        <f t="array" ref="M89">IF($J89="","",INDEX('Motivos detalle'!$H:$H,$J89))</f>
        <v>38.32</v>
      </c>
      <c r="N89" s="16" t="str" cm="1">
        <f t="array" ref="N89">IF($J89="","Abierto",INDEX('Motivos detalle'!$D:$D,$J89))</f>
        <v>ruptura piso Donchian</v>
      </c>
      <c r="O89" s="16" cm="1">
        <f t="array" ref="O89">IF($J89="","",INDEX('Motivos detalle'!$E:$E,$J89))</f>
        <v>1</v>
      </c>
      <c r="P89">
        <f t="shared" si="12"/>
        <v>61</v>
      </c>
      <c r="Q89" s="14">
        <f t="shared" si="13"/>
        <v>3.4928492849285009E-2</v>
      </c>
      <c r="R89" t="str">
        <f t="shared" si="14"/>
        <v>Ganador</v>
      </c>
      <c r="S89" t="str">
        <f>VLOOKUP(F89,Parametros!$A$25:$B$29,2,TRUE)</f>
        <v>Más de 30%</v>
      </c>
      <c r="T89" s="14">
        <f t="shared" si="15"/>
        <v>-1.8006263048016669E-2</v>
      </c>
      <c r="U89" cm="1">
        <f t="array" ref="U89">IF(J89="","",IFERROR(_xlfn.AGGREGATE(15,6,ROW('Motivos detalle'!$C$2:$C$274)/(('Motivos detalle'!$C$2:$C$274="ENTRA")*('Motivos detalle'!$B$2:$B$274=C89)*(ROW('Motivos detalle'!$C$2:$C$274)&gt;J89)),1),""))</f>
        <v>177</v>
      </c>
      <c r="V89" s="17" cm="1">
        <f t="array" ref="V89">IF(U89="","",INDEX('Motivos detalle'!$A:$A,U89))</f>
        <v>44938</v>
      </c>
      <c r="W89">
        <f t="shared" si="16"/>
        <v>37</v>
      </c>
      <c r="X89" s="19" cm="1">
        <f t="array" ref="X89">IF(U89="","",INDEX('Motivos detalle'!$G:$G,U89))</f>
        <v>40.020000000000003</v>
      </c>
      <c r="Y89" t="str">
        <f>IF(W89="","No",IF(W89&lt;Parametros!$B$4,"Sí","No"))</f>
        <v>No</v>
      </c>
      <c r="Z89" s="14" t="str">
        <f t="shared" si="17"/>
        <v/>
      </c>
      <c r="AA89" t="str">
        <f>IF(F89&gt;Parametros!$B$7,"Sí","No")</f>
        <v>Sí</v>
      </c>
      <c r="AB89" s="15">
        <f>VLOOKUP(YEAR(D89),Parametros!$A$11:$B$21,2,FALSE)</f>
        <v>0.02</v>
      </c>
      <c r="AC89" t="str">
        <f t="shared" si="18"/>
        <v>Sí</v>
      </c>
      <c r="AD89" t="str">
        <f>IF(N89="ruptura piso Donchian",IF(T89&gt;-Parametros!$B$6,"Sí","No"),"")</f>
        <v>No</v>
      </c>
      <c r="AE89" s="15">
        <f>IF(J89="","",(L89*(1-Parametros!$B$32))/(G89*(1+Parametros!$B$32))-1)</f>
        <v>3.0797041780026513E-2</v>
      </c>
      <c r="AF89" s="15">
        <f t="shared" si="19"/>
        <v>4.131451069258496E-3</v>
      </c>
    </row>
    <row r="90" spans="1:32" x14ac:dyDescent="0.3">
      <c r="A90">
        <f t="shared" si="10"/>
        <v>87</v>
      </c>
      <c r="B90" cm="1">
        <f t="array" ref="B90">IFERROR(_xlfn.AGGREGATE(15,6,ROW('Motivos detalle'!$C$2:$C$274)/('Motivos detalle'!$C$2:$C$274="ENTRA"),A90),"")</f>
        <v>173</v>
      </c>
      <c r="C90" s="16" t="str" cm="1">
        <f t="array" ref="C90">INDEX('Motivos detalle'!$B:$B,$B90)</f>
        <v>XLV</v>
      </c>
      <c r="D90" s="17" cm="1">
        <f t="array" ref="D90">INDEX('Motivos detalle'!$A:$A,$B90)</f>
        <v>44858</v>
      </c>
      <c r="E90" s="16" cm="1">
        <f t="array" ref="E90">INDEX('Motivos detalle'!$E:$E,$B90)</f>
        <v>3</v>
      </c>
      <c r="F90" s="18" cm="1">
        <f t="array" ref="F90">INDEX('Motivos detalle'!$F:$F,$B90)</f>
        <v>-5.4999999999999997E-3</v>
      </c>
      <c r="G90" s="19" cm="1">
        <f t="array" ref="G90">INDEX('Motivos detalle'!$G:$G,$B90)</f>
        <v>121.18</v>
      </c>
      <c r="H90" s="19" cm="1">
        <f t="array" ref="H90">INDEX('Motivos detalle'!$H:$H,$B90)</f>
        <v>120.07</v>
      </c>
      <c r="I90" s="18">
        <f t="shared" si="11"/>
        <v>9.2446073124012873E-3</v>
      </c>
      <c r="J90" s="16" cm="1">
        <f t="array" ref="J90">IFERROR(_xlfn.AGGREGATE(15,6,ROW('Motivos detalle'!$C$2:$C$274)/(('Motivos detalle'!$C$2:$C$274="SALE")*('Motivos detalle'!$B$2:$B$274=C90)*(ROW('Motivos detalle'!$C$2:$C$274)&gt;B90)),1),"")</f>
        <v>176</v>
      </c>
      <c r="K90" s="17" cm="1">
        <f t="array" ref="K90">IF($J90="","",INDEX('Motivos detalle'!$A:$A,$J90))</f>
        <v>44935</v>
      </c>
      <c r="L90" s="19" cm="1">
        <f t="array" ref="L90">IF($J90="","",INDEX('Motivos detalle'!$G:$G,$J90))</f>
        <v>125.85</v>
      </c>
      <c r="M90" s="19" cm="1">
        <f t="array" ref="M90">IF($J90="","",INDEX('Motivos detalle'!$H:$H,$J90))</f>
        <v>126.05</v>
      </c>
      <c r="N90" s="16" t="str" cm="1">
        <f t="array" ref="N90">IF($J90="","Abierto",INDEX('Motivos detalle'!$D:$D,$J90))</f>
        <v>ruptura piso Donchian</v>
      </c>
      <c r="O90" s="16" cm="1">
        <f t="array" ref="O90">IF($J90="","",INDEX('Motivos detalle'!$E:$E,$J90))</f>
        <v>3</v>
      </c>
      <c r="P90">
        <f t="shared" si="12"/>
        <v>77</v>
      </c>
      <c r="Q90" s="14">
        <f t="shared" si="13"/>
        <v>3.8537712493810661E-2</v>
      </c>
      <c r="R90" t="str">
        <f t="shared" si="14"/>
        <v>Ganador</v>
      </c>
      <c r="S90" t="str">
        <f>VLOOKUP(F90,Parametros!$A$25:$B$29,2,TRUE)</f>
        <v>Negativo</v>
      </c>
      <c r="T90" s="14">
        <f t="shared" si="15"/>
        <v>-1.5866719555731601E-3</v>
      </c>
      <c r="U90" cm="1">
        <f t="array" ref="U90">IF(J90="","",IFERROR(_xlfn.AGGREGATE(15,6,ROW('Motivos detalle'!$C$2:$C$274)/(('Motivos detalle'!$C$2:$C$274="ENTRA")*('Motivos detalle'!$B$2:$B$274=C90)*(ROW('Motivos detalle'!$C$2:$C$274)&gt;J90)),1),""))</f>
        <v>183</v>
      </c>
      <c r="V90" s="17" cm="1">
        <f t="array" ref="V90">IF(U90="","",INDEX('Motivos detalle'!$A:$A,U90))</f>
        <v>45021</v>
      </c>
      <c r="W90">
        <f t="shared" si="16"/>
        <v>86</v>
      </c>
      <c r="X90" s="19" cm="1">
        <f t="array" ref="X90">IF(U90="","",INDEX('Motivos detalle'!$G:$G,U90))</f>
        <v>126.14</v>
      </c>
      <c r="Y90" t="str">
        <f>IF(W90="","No",IF(W90&lt;Parametros!$B$4,"Sí","No"))</f>
        <v>No</v>
      </c>
      <c r="Z90" s="14" t="str">
        <f t="shared" si="17"/>
        <v/>
      </c>
      <c r="AA90" t="str">
        <f>IF(F90&gt;Parametros!$B$7,"Sí","No")</f>
        <v>No</v>
      </c>
      <c r="AB90" s="15">
        <f>VLOOKUP(YEAR(D90),Parametros!$A$11:$B$21,2,FALSE)</f>
        <v>0.02</v>
      </c>
      <c r="AC90" t="str">
        <f t="shared" si="18"/>
        <v>No</v>
      </c>
      <c r="AD90" t="str">
        <f>IF(N90="ruptura piso Donchian",IF(T90&gt;-Parametros!$B$6,"Sí","No"),"")</f>
        <v>Sí</v>
      </c>
      <c r="AE90" s="15">
        <f>IF(J90="","",(L90*(1-Parametros!$B$32))/(G90*(1+Parametros!$B$32))-1)</f>
        <v>3.4391853362098823E-2</v>
      </c>
      <c r="AF90" s="15">
        <f t="shared" si="19"/>
        <v>4.1458591317118376E-3</v>
      </c>
    </row>
    <row r="91" spans="1:32" x14ac:dyDescent="0.3">
      <c r="A91">
        <f t="shared" si="10"/>
        <v>88</v>
      </c>
      <c r="B91" cm="1">
        <f t="array" ref="B91">IFERROR(_xlfn.AGGREGATE(15,6,ROW('Motivos detalle'!$C$2:$C$274)/('Motivos detalle'!$C$2:$C$274="ENTRA"),A91),"")</f>
        <v>174</v>
      </c>
      <c r="C91" s="16" t="str" cm="1">
        <f t="array" ref="C91">INDEX('Motivos detalle'!$B:$B,$B91)</f>
        <v>XLP</v>
      </c>
      <c r="D91" s="17" cm="1">
        <f t="array" ref="D91">INDEX('Motivos detalle'!$A:$A,$B91)</f>
        <v>44859</v>
      </c>
      <c r="E91" s="16" cm="1">
        <f t="array" ref="E91">INDEX('Motivos detalle'!$E:$E,$B91)</f>
        <v>2</v>
      </c>
      <c r="F91" s="18" cm="1">
        <f t="array" ref="F91">INDEX('Motivos detalle'!$F:$F,$B91)</f>
        <v>2.3199999999999998E-2</v>
      </c>
      <c r="G91" s="19" cm="1">
        <f t="array" ref="G91">INDEX('Motivos detalle'!$G:$G,$B91)</f>
        <v>64.27</v>
      </c>
      <c r="H91" s="19" cm="1">
        <f t="array" ref="H91">INDEX('Motivos detalle'!$H:$H,$B91)</f>
        <v>63.57</v>
      </c>
      <c r="I91" s="18">
        <f t="shared" si="11"/>
        <v>1.1011483404121281E-2</v>
      </c>
      <c r="J91" s="16" cm="1">
        <f t="array" ref="J91">IFERROR(_xlfn.AGGREGATE(15,6,ROW('Motivos detalle'!$C$2:$C$274)/(('Motivos detalle'!$C$2:$C$274="SALE")*('Motivos detalle'!$B$2:$B$274=C91)*(ROW('Motivos detalle'!$C$2:$C$274)&gt;B91)),1),"")</f>
        <v>178</v>
      </c>
      <c r="K91" s="17" cm="1">
        <f t="array" ref="K91">IF($J91="","",INDEX('Motivos detalle'!$A:$A,$J91))</f>
        <v>44944</v>
      </c>
      <c r="L91" s="19" cm="1">
        <f t="array" ref="L91">IF($J91="","",INDEX('Motivos detalle'!$G:$G,$J91))</f>
        <v>66.27</v>
      </c>
      <c r="M91" s="19" cm="1">
        <f t="array" ref="M91">IF($J91="","",INDEX('Motivos detalle'!$H:$H,$J91))</f>
        <v>66.97</v>
      </c>
      <c r="N91" s="16" t="str" cm="1">
        <f t="array" ref="N91">IF($J91="","Abierto",INDEX('Motivos detalle'!$D:$D,$J91))</f>
        <v>ruptura piso Donchian</v>
      </c>
      <c r="O91" s="16" cm="1">
        <f t="array" ref="O91">IF($J91="","",INDEX('Motivos detalle'!$E:$E,$J91))</f>
        <v>4</v>
      </c>
      <c r="P91">
        <f t="shared" si="12"/>
        <v>85</v>
      </c>
      <c r="Q91" s="14">
        <f t="shared" si="13"/>
        <v>3.1118717908822147E-2</v>
      </c>
      <c r="R91" t="str">
        <f t="shared" si="14"/>
        <v>Ganador</v>
      </c>
      <c r="S91" t="str">
        <f>VLOOKUP(F91,Parametros!$A$25:$B$29,2,TRUE)</f>
        <v>0% a 5%</v>
      </c>
      <c r="T91" s="14">
        <f t="shared" si="15"/>
        <v>-1.0452441391667899E-2</v>
      </c>
      <c r="U91" cm="1">
        <f t="array" ref="U91">IF(J91="","",IFERROR(_xlfn.AGGREGATE(15,6,ROW('Motivos detalle'!$C$2:$C$274)/(('Motivos detalle'!$C$2:$C$274="ENTRA")*('Motivos detalle'!$B$2:$B$274=C91)*(ROW('Motivos detalle'!$C$2:$C$274)&gt;J91)),1),""))</f>
        <v>182</v>
      </c>
      <c r="V91" s="17" cm="1">
        <f t="array" ref="V91">IF(U91="","",INDEX('Motivos detalle'!$A:$A,U91))</f>
        <v>45012</v>
      </c>
      <c r="W91">
        <f t="shared" si="16"/>
        <v>68</v>
      </c>
      <c r="X91" s="19" cm="1">
        <f t="array" ref="X91">IF(U91="","",INDEX('Motivos detalle'!$G:$G,U91))</f>
        <v>67.14</v>
      </c>
      <c r="Y91" t="str">
        <f>IF(W91="","No",IF(W91&lt;Parametros!$B$4,"Sí","No"))</f>
        <v>No</v>
      </c>
      <c r="Z91" s="14" t="str">
        <f t="shared" si="17"/>
        <v/>
      </c>
      <c r="AA91" t="str">
        <f>IF(F91&gt;Parametros!$B$7,"Sí","No")</f>
        <v>Sí</v>
      </c>
      <c r="AB91" s="15">
        <f>VLOOKUP(YEAR(D91),Parametros!$A$11:$B$21,2,FALSE)</f>
        <v>0.02</v>
      </c>
      <c r="AC91" t="str">
        <f t="shared" si="18"/>
        <v>Sí</v>
      </c>
      <c r="AD91" t="str">
        <f>IF(N91="ruptura piso Donchian",IF(T91&gt;-Parametros!$B$6,"Sí","No"),"")</f>
        <v>No</v>
      </c>
      <c r="AE91" s="15">
        <f>IF(J91="","",(L91*(1-Parametros!$B$32))/(G91*(1+Parametros!$B$32))-1)</f>
        <v>2.7002475521960445E-2</v>
      </c>
      <c r="AF91" s="15">
        <f t="shared" si="19"/>
        <v>4.1162423868617015E-3</v>
      </c>
    </row>
    <row r="92" spans="1:32" x14ac:dyDescent="0.3">
      <c r="A92">
        <f t="shared" si="10"/>
        <v>89</v>
      </c>
      <c r="B92" cm="1">
        <f t="array" ref="B92">IFERROR(_xlfn.AGGREGATE(15,6,ROW('Motivos detalle'!$C$2:$C$274)/('Motivos detalle'!$C$2:$C$274="ENTRA"),A92),"")</f>
        <v>177</v>
      </c>
      <c r="C92" s="16" t="str" cm="1">
        <f t="array" ref="C92">INDEX('Motivos detalle'!$B:$B,$B92)</f>
        <v>XLE</v>
      </c>
      <c r="D92" s="17" cm="1">
        <f t="array" ref="D92">INDEX('Motivos detalle'!$A:$A,$B92)</f>
        <v>44938</v>
      </c>
      <c r="E92" s="16" cm="1">
        <f t="array" ref="E92">INDEX('Motivos detalle'!$E:$E,$B92)</f>
        <v>1</v>
      </c>
      <c r="F92" s="18" cm="1">
        <f t="array" ref="F92">INDEX('Motivos detalle'!$F:$F,$B92)</f>
        <v>0.48110000000000003</v>
      </c>
      <c r="G92" s="19" cm="1">
        <f t="array" ref="G92">INDEX('Motivos detalle'!$G:$G,$B92)</f>
        <v>40.020000000000003</v>
      </c>
      <c r="H92" s="19" cm="1">
        <f t="array" ref="H92">INDEX('Motivos detalle'!$H:$H,$B92)</f>
        <v>39.67</v>
      </c>
      <c r="I92" s="18">
        <f t="shared" si="11"/>
        <v>8.8227880010083304E-3</v>
      </c>
      <c r="J92" s="16" cm="1">
        <f t="array" ref="J92">IFERROR(_xlfn.AGGREGATE(15,6,ROW('Motivos detalle'!$C$2:$C$274)/(('Motivos detalle'!$C$2:$C$274="SALE")*('Motivos detalle'!$B$2:$B$274=C92)*(ROW('Motivos detalle'!$C$2:$C$274)&gt;B92)),1),"")</f>
        <v>181</v>
      </c>
      <c r="K92" s="17" cm="1">
        <f t="array" ref="K92">IF($J92="","",INDEX('Motivos detalle'!$A:$A,$J92))</f>
        <v>44974</v>
      </c>
      <c r="L92" s="19" cm="1">
        <f t="array" ref="L92">IF($J92="","",INDEX('Motivos detalle'!$G:$G,$J92))</f>
        <v>37.65</v>
      </c>
      <c r="M92" s="19" cm="1">
        <f t="array" ref="M92">IF($J92="","",INDEX('Motivos detalle'!$H:$H,$J92))</f>
        <v>37.659999999999997</v>
      </c>
      <c r="N92" s="16" t="str" cm="1">
        <f t="array" ref="N92">IF($J92="","Abierto",INDEX('Motivos detalle'!$D:$D,$J92))</f>
        <v>ruptura piso Donchian</v>
      </c>
      <c r="O92" s="16" cm="1">
        <f t="array" ref="O92">IF($J92="","",INDEX('Motivos detalle'!$E:$E,$J92))</f>
        <v>1</v>
      </c>
      <c r="P92">
        <f t="shared" si="12"/>
        <v>36</v>
      </c>
      <c r="Q92" s="14">
        <f t="shared" si="13"/>
        <v>-5.9220389805097584E-2</v>
      </c>
      <c r="R92" t="str">
        <f t="shared" si="14"/>
        <v>Perdedor</v>
      </c>
      <c r="S92" t="str">
        <f>VLOOKUP(F92,Parametros!$A$25:$B$29,2,TRUE)</f>
        <v>Más de 30%</v>
      </c>
      <c r="T92" s="14">
        <f t="shared" si="15"/>
        <v>-2.6553372278270704E-4</v>
      </c>
      <c r="U92" cm="1">
        <f t="array" ref="U92">IF(J92="","",IFERROR(_xlfn.AGGREGATE(15,6,ROW('Motivos detalle'!$C$2:$C$274)/(('Motivos detalle'!$C$2:$C$274="ENTRA")*('Motivos detalle'!$B$2:$B$274=C92)*(ROW('Motivos detalle'!$C$2:$C$274)&gt;J92)),1),""))</f>
        <v>190</v>
      </c>
      <c r="V92" s="17" cm="1">
        <f t="array" ref="V92">IF(U92="","",INDEX('Motivos detalle'!$A:$A,U92))</f>
        <v>45147</v>
      </c>
      <c r="W92">
        <f t="shared" si="16"/>
        <v>173</v>
      </c>
      <c r="X92" s="19" cm="1">
        <f t="array" ref="X92">IF(U92="","",INDEX('Motivos detalle'!$G:$G,U92))</f>
        <v>40.22</v>
      </c>
      <c r="Y92" t="str">
        <f>IF(W92="","No",IF(W92&lt;Parametros!$B$4,"Sí","No"))</f>
        <v>No</v>
      </c>
      <c r="Z92" s="14" t="str">
        <f t="shared" si="17"/>
        <v/>
      </c>
      <c r="AA92" t="str">
        <f>IF(F92&gt;Parametros!$B$7,"Sí","No")</f>
        <v>Sí</v>
      </c>
      <c r="AB92" s="15">
        <f>VLOOKUP(YEAR(D92),Parametros!$A$11:$B$21,2,FALSE)</f>
        <v>5.0999999999999997E-2</v>
      </c>
      <c r="AC92" t="str">
        <f t="shared" si="18"/>
        <v>Sí</v>
      </c>
      <c r="AD92" t="str">
        <f>IF(N92="ruptura piso Donchian",IF(T92&gt;-Parametros!$B$6,"Sí","No"),"")</f>
        <v>Sí</v>
      </c>
      <c r="AE92" s="15">
        <f>IF(J92="","",(L92*(1-Parametros!$B$32))/(G92*(1+Parametros!$B$32))-1)</f>
        <v>-6.2975997031424424E-2</v>
      </c>
      <c r="AF92" s="15">
        <f t="shared" si="19"/>
        <v>3.7556072263268403E-3</v>
      </c>
    </row>
    <row r="93" spans="1:32" x14ac:dyDescent="0.3">
      <c r="A93">
        <f t="shared" si="10"/>
        <v>90</v>
      </c>
      <c r="B93" cm="1">
        <f t="array" ref="B93">IFERROR(_xlfn.AGGREGATE(15,6,ROW('Motivos detalle'!$C$2:$C$274)/('Motivos detalle'!$C$2:$C$274="ENTRA"),A93),"")</f>
        <v>179</v>
      </c>
      <c r="C93" s="16" t="str" cm="1">
        <f t="array" ref="C93">INDEX('Motivos detalle'!$B:$B,$B93)</f>
        <v>XLB</v>
      </c>
      <c r="D93" s="17" cm="1">
        <f t="array" ref="D93">INDEX('Motivos detalle'!$A:$A,$B93)</f>
        <v>44957</v>
      </c>
      <c r="E93" s="16" cm="1">
        <f t="array" ref="E93">INDEX('Motivos detalle'!$E:$E,$B93)</f>
        <v>3</v>
      </c>
      <c r="F93" s="18" cm="1">
        <f t="array" ref="F93">INDEX('Motivos detalle'!$F:$F,$B93)</f>
        <v>4.0599999999999997E-2</v>
      </c>
      <c r="G93" s="19" cm="1">
        <f t="array" ref="G93">INDEX('Motivos detalle'!$G:$G,$B93)</f>
        <v>39.590000000000003</v>
      </c>
      <c r="H93" s="19" cm="1">
        <f t="array" ref="H93">INDEX('Motivos detalle'!$H:$H,$B93)</f>
        <v>39.32</v>
      </c>
      <c r="I93" s="18">
        <f t="shared" si="11"/>
        <v>6.8667344862665125E-3</v>
      </c>
      <c r="J93" s="16" cm="1">
        <f t="array" ref="J93">IFERROR(_xlfn.AGGREGATE(15,6,ROW('Motivos detalle'!$C$2:$C$274)/(('Motivos detalle'!$C$2:$C$274="SALE")*('Motivos detalle'!$B$2:$B$274=C93)*(ROW('Motivos detalle'!$C$2:$C$274)&gt;B93)),1),"")</f>
        <v>180</v>
      </c>
      <c r="K93" s="17" cm="1">
        <f t="array" ref="K93">IF($J93="","",INDEX('Motivos detalle'!$A:$A,$J93))</f>
        <v>44967</v>
      </c>
      <c r="L93" s="19" cm="1">
        <f t="array" ref="L93">IF($J93="","",INDEX('Motivos detalle'!$G:$G,$J93))</f>
        <v>38.36</v>
      </c>
      <c r="M93" s="19" cm="1">
        <f t="array" ref="M93">IF($J93="","",INDEX('Motivos detalle'!$H:$H,$J93))</f>
        <v>37.65</v>
      </c>
      <c r="N93" s="16" t="str" cm="1">
        <f t="array" ref="N93">IF($J93="","Abierto",INDEX('Motivos detalle'!$D:$D,$J93))</f>
        <v>cae del ranking (&gt;#5)</v>
      </c>
      <c r="O93" s="16" cm="1">
        <f t="array" ref="O93">IF($J93="","",INDEX('Motivos detalle'!$E:$E,$J93))</f>
        <v>6</v>
      </c>
      <c r="P93">
        <f t="shared" si="12"/>
        <v>10</v>
      </c>
      <c r="Q93" s="14">
        <f t="shared" si="13"/>
        <v>-3.1068451629199356E-2</v>
      </c>
      <c r="R93" t="str">
        <f t="shared" si="14"/>
        <v>Perdedor</v>
      </c>
      <c r="S93" t="str">
        <f>VLOOKUP(F93,Parametros!$A$25:$B$29,2,TRUE)</f>
        <v>0% a 5%</v>
      </c>
      <c r="T93" s="14" t="str">
        <f t="shared" si="15"/>
        <v/>
      </c>
      <c r="U93" cm="1">
        <f t="array" ref="U93">IF(J93="","",IFERROR(_xlfn.AGGREGATE(15,6,ROW('Motivos detalle'!$C$2:$C$274)/(('Motivos detalle'!$C$2:$C$274="ENTRA")*('Motivos detalle'!$B$2:$B$274=C93)*(ROW('Motivos detalle'!$C$2:$C$274)&gt;J93)),1),""))</f>
        <v>258</v>
      </c>
      <c r="V93" s="17" cm="1">
        <f t="array" ref="V93">IF(U93="","",INDEX('Motivos detalle'!$A:$A,U93))</f>
        <v>46064</v>
      </c>
      <c r="W93">
        <f t="shared" si="16"/>
        <v>1097</v>
      </c>
      <c r="X93" s="19" cm="1">
        <f t="array" ref="X93">IF(U93="","",INDEX('Motivos detalle'!$G:$G,U93))</f>
        <v>53.18</v>
      </c>
      <c r="Y93" t="str">
        <f>IF(W93="","No",IF(W93&lt;Parametros!$B$4,"Sí","No"))</f>
        <v>No</v>
      </c>
      <c r="Z93" s="14" t="str">
        <f t="shared" si="17"/>
        <v/>
      </c>
      <c r="AA93" t="str">
        <f>IF(F93&gt;Parametros!$B$7,"Sí","No")</f>
        <v>Sí</v>
      </c>
      <c r="AB93" s="15">
        <f>VLOOKUP(YEAR(D93),Parametros!$A$11:$B$21,2,FALSE)</f>
        <v>5.0999999999999997E-2</v>
      </c>
      <c r="AC93" t="str">
        <f t="shared" si="18"/>
        <v>No</v>
      </c>
      <c r="AD93" t="str">
        <f>IF(N93="ruptura piso Donchian",IF(T93&gt;-Parametros!$B$6,"Sí","No"),"")</f>
        <v/>
      </c>
      <c r="AE93" s="15">
        <f>IF(J93="","",(L93*(1-Parametros!$B$32))/(G93*(1+Parametros!$B$32))-1)</f>
        <v>-3.4936441842256527E-2</v>
      </c>
      <c r="AF93" s="15">
        <f t="shared" si="19"/>
        <v>3.8679902130571708E-3</v>
      </c>
    </row>
    <row r="94" spans="1:32" x14ac:dyDescent="0.3">
      <c r="A94">
        <f t="shared" si="10"/>
        <v>91</v>
      </c>
      <c r="B94" cm="1">
        <f t="array" ref="B94">IFERROR(_xlfn.AGGREGATE(15,6,ROW('Motivos detalle'!$C$2:$C$274)/('Motivos detalle'!$C$2:$C$274="ENTRA"),A94),"")</f>
        <v>182</v>
      </c>
      <c r="C94" s="16" t="str" cm="1">
        <f t="array" ref="C94">INDEX('Motivos detalle'!$B:$B,$B94)</f>
        <v>XLP</v>
      </c>
      <c r="D94" s="17" cm="1">
        <f t="array" ref="D94">INDEX('Motivos detalle'!$A:$A,$B94)</f>
        <v>45012</v>
      </c>
      <c r="E94" s="16" cm="1">
        <f t="array" ref="E94">INDEX('Motivos detalle'!$E:$E,$B94)</f>
        <v>2</v>
      </c>
      <c r="F94" s="18" cm="1">
        <f t="array" ref="F94">INDEX('Motivos detalle'!$F:$F,$B94)</f>
        <v>1.1599999999999999E-2</v>
      </c>
      <c r="G94" s="19" cm="1">
        <f t="array" ref="G94">INDEX('Motivos detalle'!$G:$G,$B94)</f>
        <v>67.14</v>
      </c>
      <c r="H94" s="19" cm="1">
        <f t="array" ref="H94">INDEX('Motivos detalle'!$H:$H,$B94)</f>
        <v>66.94</v>
      </c>
      <c r="I94" s="18">
        <f t="shared" si="11"/>
        <v>2.9877502240813758E-3</v>
      </c>
      <c r="J94" s="16" cm="1">
        <f t="array" ref="J94">IFERROR(_xlfn.AGGREGATE(15,6,ROW('Motivos detalle'!$C$2:$C$274)/(('Motivos detalle'!$C$2:$C$274="SALE")*('Motivos detalle'!$B$2:$B$274=C94)*(ROW('Motivos detalle'!$C$2:$C$274)&gt;B94)),1),"")</f>
        <v>184</v>
      </c>
      <c r="K94" s="17" cm="1">
        <f t="array" ref="K94">IF($J94="","",INDEX('Motivos detalle'!$A:$A,$J94))</f>
        <v>45044</v>
      </c>
      <c r="L94" s="19" cm="1">
        <f t="array" ref="L94">IF($J94="","",INDEX('Motivos detalle'!$G:$G,$J94))</f>
        <v>70.88</v>
      </c>
      <c r="M94" s="19" cm="1">
        <f t="array" ref="M94">IF($J94="","",INDEX('Motivos detalle'!$H:$H,$J94))</f>
        <v>67.62</v>
      </c>
      <c r="N94" s="16" t="str" cm="1">
        <f t="array" ref="N94">IF($J94="","Abierto",INDEX('Motivos detalle'!$D:$D,$J94))</f>
        <v>cae del ranking (&gt;#5)</v>
      </c>
      <c r="O94" s="16" cm="1">
        <f t="array" ref="O94">IF($J94="","",INDEX('Motivos detalle'!$E:$E,$J94))</f>
        <v>6</v>
      </c>
      <c r="P94">
        <f t="shared" si="12"/>
        <v>32</v>
      </c>
      <c r="Q94" s="14">
        <f t="shared" si="13"/>
        <v>5.5704498063747332E-2</v>
      </c>
      <c r="R94" t="str">
        <f t="shared" si="14"/>
        <v>Ganador</v>
      </c>
      <c r="S94" t="str">
        <f>VLOOKUP(F94,Parametros!$A$25:$B$29,2,TRUE)</f>
        <v>0% a 5%</v>
      </c>
      <c r="T94" s="14" t="str">
        <f t="shared" si="15"/>
        <v/>
      </c>
      <c r="U94" t="str" cm="1">
        <f t="array" ref="U94">IF(J94="","",IFERROR(_xlfn.AGGREGATE(15,6,ROW('Motivos detalle'!$C$2:$C$274)/(('Motivos detalle'!$C$2:$C$274="ENTRA")*('Motivos detalle'!$B$2:$B$274=C94)*(ROW('Motivos detalle'!$C$2:$C$274)&gt;J94)),1),""))</f>
        <v/>
      </c>
      <c r="V94" s="17" t="str" cm="1">
        <f t="array" ref="V94">IF(U94="","",INDEX('Motivos detalle'!$A:$A,U94))</f>
        <v/>
      </c>
      <c r="W94" t="str">
        <f t="shared" si="16"/>
        <v/>
      </c>
      <c r="X94" s="19" t="str" cm="1">
        <f t="array" ref="X94">IF(U94="","",INDEX('Motivos detalle'!$G:$G,U94))</f>
        <v/>
      </c>
      <c r="Y94" t="str">
        <f>IF(W94="","No",IF(W94&lt;Parametros!$B$4,"Sí","No"))</f>
        <v>No</v>
      </c>
      <c r="Z94" s="14" t="str">
        <f t="shared" si="17"/>
        <v/>
      </c>
      <c r="AA94" t="str">
        <f>IF(F94&gt;Parametros!$B$7,"Sí","No")</f>
        <v>Sí</v>
      </c>
      <c r="AB94" s="15">
        <f>VLOOKUP(YEAR(D94),Parametros!$A$11:$B$21,2,FALSE)</f>
        <v>5.0999999999999997E-2</v>
      </c>
      <c r="AC94" t="str">
        <f t="shared" si="18"/>
        <v>No</v>
      </c>
      <c r="AD94" t="str">
        <f>IF(N94="ruptura piso Donchian",IF(T94&gt;-Parametros!$B$6,"Sí","No"),"")</f>
        <v/>
      </c>
      <c r="AE94" s="15">
        <f>IF(J94="","",(L94*(1-Parametros!$B$32))/(G94*(1+Parametros!$B$32))-1)</f>
        <v>5.149010884991978E-2</v>
      </c>
      <c r="AF94" s="15">
        <f t="shared" si="19"/>
        <v>4.2143892138275518E-3</v>
      </c>
    </row>
    <row r="95" spans="1:32" x14ac:dyDescent="0.3">
      <c r="A95">
        <f t="shared" si="10"/>
        <v>92</v>
      </c>
      <c r="B95" cm="1">
        <f t="array" ref="B95">IFERROR(_xlfn.AGGREGATE(15,6,ROW('Motivos detalle'!$C$2:$C$274)/('Motivos detalle'!$C$2:$C$274="ENTRA"),A95),"")</f>
        <v>183</v>
      </c>
      <c r="C95" s="16" t="str" cm="1">
        <f t="array" ref="C95">INDEX('Motivos detalle'!$B:$B,$B95)</f>
        <v>XLV</v>
      </c>
      <c r="D95" s="17" cm="1">
        <f t="array" ref="D95">INDEX('Motivos detalle'!$A:$A,$B95)</f>
        <v>45021</v>
      </c>
      <c r="E95" s="16" cm="1">
        <f t="array" ref="E95">INDEX('Motivos detalle'!$E:$E,$B95)</f>
        <v>3</v>
      </c>
      <c r="F95" s="18" cm="1">
        <f t="array" ref="F95">INDEX('Motivos detalle'!$F:$F,$B95)</f>
        <v>-1.14E-2</v>
      </c>
      <c r="G95" s="19" cm="1">
        <f t="array" ref="G95">INDEX('Motivos detalle'!$G:$G,$B95)</f>
        <v>126.14</v>
      </c>
      <c r="H95" s="19" cm="1">
        <f t="array" ref="H95">INDEX('Motivos detalle'!$H:$H,$B95)</f>
        <v>124.72</v>
      </c>
      <c r="I95" s="18">
        <f t="shared" si="11"/>
        <v>1.1385503527902463E-2</v>
      </c>
      <c r="J95" s="16" cm="1">
        <f t="array" ref="J95">IFERROR(_xlfn.AGGREGATE(15,6,ROW('Motivos detalle'!$C$2:$C$274)/(('Motivos detalle'!$C$2:$C$274="SALE")*('Motivos detalle'!$B$2:$B$274=C95)*(ROW('Motivos detalle'!$C$2:$C$274)&gt;B95)),1),"")</f>
        <v>187</v>
      </c>
      <c r="K95" s="17" cm="1">
        <f t="array" ref="K95">IF($J95="","",INDEX('Motivos detalle'!$A:$A,$J95))</f>
        <v>45065</v>
      </c>
      <c r="L95" s="19" cm="1">
        <f t="array" ref="L95">IF($J95="","",INDEX('Motivos detalle'!$G:$G,$J95))</f>
        <v>124.36</v>
      </c>
      <c r="M95" s="19" cm="1">
        <f t="array" ref="M95">IF($J95="","",INDEX('Motivos detalle'!$H:$H,$J95))</f>
        <v>122.7</v>
      </c>
      <c r="N95" s="16" t="str" cm="1">
        <f t="array" ref="N95">IF($J95="","Abierto",INDEX('Motivos detalle'!$D:$D,$J95))</f>
        <v>cae del ranking (&gt;#5)</v>
      </c>
      <c r="O95" s="16" cm="1">
        <f t="array" ref="O95">IF($J95="","",INDEX('Motivos detalle'!$E:$E,$J95))</f>
        <v>6</v>
      </c>
      <c r="P95">
        <f t="shared" si="12"/>
        <v>44</v>
      </c>
      <c r="Q95" s="14">
        <f t="shared" si="13"/>
        <v>-1.4111304899318222E-2</v>
      </c>
      <c r="R95" t="str">
        <f t="shared" si="14"/>
        <v>Perdedor</v>
      </c>
      <c r="S95" t="str">
        <f>VLOOKUP(F95,Parametros!$A$25:$B$29,2,TRUE)</f>
        <v>Negativo</v>
      </c>
      <c r="T95" s="14" t="str">
        <f t="shared" si="15"/>
        <v/>
      </c>
      <c r="U95" cm="1">
        <f t="array" ref="U95">IF(J95="","",IFERROR(_xlfn.AGGREGATE(15,6,ROW('Motivos detalle'!$C$2:$C$274)/(('Motivos detalle'!$C$2:$C$274="ENTRA")*('Motivos detalle'!$B$2:$B$274=C95)*(ROW('Motivos detalle'!$C$2:$C$274)&gt;J95)),1),""))</f>
        <v>248</v>
      </c>
      <c r="V95" s="17" cm="1">
        <f t="array" ref="V95">IF(U95="","",INDEX('Motivos detalle'!$A:$A,U95))</f>
        <v>45986</v>
      </c>
      <c r="W95">
        <f t="shared" si="16"/>
        <v>921</v>
      </c>
      <c r="X95" s="19" cm="1">
        <f t="array" ref="X95">IF(U95="","",INDEX('Motivos detalle'!$G:$G,U95))</f>
        <v>156.76</v>
      </c>
      <c r="Y95" t="str">
        <f>IF(W95="","No",IF(W95&lt;Parametros!$B$4,"Sí","No"))</f>
        <v>No</v>
      </c>
      <c r="Z95" s="14" t="str">
        <f t="shared" si="17"/>
        <v/>
      </c>
      <c r="AA95" t="str">
        <f>IF(F95&gt;Parametros!$B$7,"Sí","No")</f>
        <v>No</v>
      </c>
      <c r="AB95" s="15">
        <f>VLOOKUP(YEAR(D95),Parametros!$A$11:$B$21,2,FALSE)</f>
        <v>5.0999999999999997E-2</v>
      </c>
      <c r="AC95" t="str">
        <f t="shared" si="18"/>
        <v>No</v>
      </c>
      <c r="AD95" t="str">
        <f>IF(N95="ruptura piso Donchian",IF(T95&gt;-Parametros!$B$6,"Sí","No"),"")</f>
        <v/>
      </c>
      <c r="AE95" s="15">
        <f>IF(J95="","",(L95*(1-Parametros!$B$32))/(G95*(1+Parametros!$B$32))-1)</f>
        <v>-1.8046988312893864E-2</v>
      </c>
      <c r="AF95" s="15">
        <f t="shared" si="19"/>
        <v>3.9356834135756413E-3</v>
      </c>
    </row>
    <row r="96" spans="1:32" x14ac:dyDescent="0.3">
      <c r="A96">
        <f t="shared" si="10"/>
        <v>93</v>
      </c>
      <c r="B96" cm="1">
        <f t="array" ref="B96">IFERROR(_xlfn.AGGREGATE(15,6,ROW('Motivos detalle'!$C$2:$C$274)/('Motivos detalle'!$C$2:$C$274="ENTRA"),A96),"")</f>
        <v>185</v>
      </c>
      <c r="C96" s="16" t="str" cm="1">
        <f t="array" ref="C96">INDEX('Motivos detalle'!$B:$B,$B96)</f>
        <v>XLK</v>
      </c>
      <c r="D96" s="17" cm="1">
        <f t="array" ref="D96">INDEX('Motivos detalle'!$A:$A,$B96)</f>
        <v>45063</v>
      </c>
      <c r="E96" s="16" cm="1">
        <f t="array" ref="E96">INDEX('Motivos detalle'!$E:$E,$B96)</f>
        <v>1</v>
      </c>
      <c r="F96" s="18" cm="1">
        <f t="array" ref="F96">INDEX('Motivos detalle'!$F:$F,$B96)</f>
        <v>0.15820000000000001</v>
      </c>
      <c r="G96" s="19" cm="1">
        <f t="array" ref="G96">INDEX('Motivos detalle'!$G:$G,$B96)</f>
        <v>75.52</v>
      </c>
      <c r="H96" s="19" cm="1">
        <f t="array" ref="H96">INDEX('Motivos detalle'!$H:$H,$B96)</f>
        <v>74.94</v>
      </c>
      <c r="I96" s="18">
        <f t="shared" si="11"/>
        <v>7.7395249532958843E-3</v>
      </c>
      <c r="J96" s="16" cm="1">
        <f t="array" ref="J96">IFERROR(_xlfn.AGGREGATE(15,6,ROW('Motivos detalle'!$C$2:$C$274)/(('Motivos detalle'!$C$2:$C$274="SALE")*('Motivos detalle'!$B$2:$B$274=C96)*(ROW('Motivos detalle'!$C$2:$C$274)&gt;B96)),1),"")</f>
        <v>189</v>
      </c>
      <c r="K96" s="17" cm="1">
        <f t="array" ref="K96">IF($J96="","",INDEX('Motivos detalle'!$A:$A,$J96))</f>
        <v>45146</v>
      </c>
      <c r="L96" s="19" cm="1">
        <f t="array" ref="L96">IF($J96="","",INDEX('Motivos detalle'!$G:$G,$J96))</f>
        <v>83.49</v>
      </c>
      <c r="M96" s="19" cm="1">
        <f t="array" ref="M96">IF($J96="","",INDEX('Motivos detalle'!$H:$H,$J96))</f>
        <v>83.5</v>
      </c>
      <c r="N96" s="16" t="str" cm="1">
        <f t="array" ref="N96">IF($J96="","Abierto",INDEX('Motivos detalle'!$D:$D,$J96))</f>
        <v>ruptura piso Donchian</v>
      </c>
      <c r="O96" s="16" cm="1">
        <f t="array" ref="O96">IF($J96="","",INDEX('Motivos detalle'!$E:$E,$J96))</f>
        <v>3</v>
      </c>
      <c r="P96">
        <f t="shared" si="12"/>
        <v>83</v>
      </c>
      <c r="Q96" s="14">
        <f t="shared" si="13"/>
        <v>0.10553495762711873</v>
      </c>
      <c r="R96" t="str">
        <f t="shared" si="14"/>
        <v>Ganador</v>
      </c>
      <c r="S96" t="str">
        <f>VLOOKUP(F96,Parametros!$A$25:$B$29,2,TRUE)</f>
        <v>15% a 30%</v>
      </c>
      <c r="T96" s="14">
        <f t="shared" si="15"/>
        <v>-1.1976047904194154E-4</v>
      </c>
      <c r="U96" cm="1">
        <f t="array" ref="U96">IF(J96="","",IFERROR(_xlfn.AGGREGATE(15,6,ROW('Motivos detalle'!$C$2:$C$274)/(('Motivos detalle'!$C$2:$C$274="ENTRA")*('Motivos detalle'!$B$2:$B$274=C96)*(ROW('Motivos detalle'!$C$2:$C$274)&gt;J96)),1),""))</f>
        <v>193</v>
      </c>
      <c r="V96" s="17" cm="1">
        <f t="array" ref="V96">IF(U96="","",INDEX('Motivos detalle'!$A:$A,U96))</f>
        <v>45169</v>
      </c>
      <c r="W96">
        <f t="shared" si="16"/>
        <v>23</v>
      </c>
      <c r="X96" s="19" cm="1">
        <f t="array" ref="X96">IF(U96="","",INDEX('Motivos detalle'!$G:$G,U96))</f>
        <v>86.11</v>
      </c>
      <c r="Y96" t="str">
        <f>IF(W96="","No",IF(W96&lt;Parametros!$B$4,"Sí","No"))</f>
        <v>No</v>
      </c>
      <c r="Z96" s="14" t="str">
        <f t="shared" si="17"/>
        <v/>
      </c>
      <c r="AA96" t="str">
        <f>IF(F96&gt;Parametros!$B$7,"Sí","No")</f>
        <v>Sí</v>
      </c>
      <c r="AB96" s="15">
        <f>VLOOKUP(YEAR(D96),Parametros!$A$11:$B$21,2,FALSE)</f>
        <v>5.0999999999999997E-2</v>
      </c>
      <c r="AC96" t="str">
        <f t="shared" si="18"/>
        <v>Sí</v>
      </c>
      <c r="AD96" t="str">
        <f>IF(N96="ruptura piso Donchian",IF(T96&gt;-Parametros!$B$6,"Sí","No"),"")</f>
        <v>Sí</v>
      </c>
      <c r="AE96" s="15">
        <f>IF(J96="","",(L96*(1-Parametros!$B$32))/(G96*(1+Parametros!$B$32))-1)</f>
        <v>0.10112164442301852</v>
      </c>
      <c r="AF96" s="15">
        <f t="shared" si="19"/>
        <v>4.413313204100211E-3</v>
      </c>
    </row>
    <row r="97" spans="1:32" x14ac:dyDescent="0.3">
      <c r="A97">
        <f t="shared" si="10"/>
        <v>94</v>
      </c>
      <c r="B97" cm="1">
        <f t="array" ref="B97">IFERROR(_xlfn.AGGREGATE(15,6,ROW('Motivos detalle'!$C$2:$C$274)/('Motivos detalle'!$C$2:$C$274="ENTRA"),A97),"")</f>
        <v>186</v>
      </c>
      <c r="C97" s="16" t="str" cm="1">
        <f t="array" ref="C97">INDEX('Motivos detalle'!$B:$B,$B97)</f>
        <v>XLC</v>
      </c>
      <c r="D97" s="17" cm="1">
        <f t="array" ref="D97">INDEX('Motivos detalle'!$A:$A,$B97)</f>
        <v>45063</v>
      </c>
      <c r="E97" s="16" cm="1">
        <f t="array" ref="E97">INDEX('Motivos detalle'!$E:$E,$B97)</f>
        <v>3</v>
      </c>
      <c r="F97" s="18" cm="1">
        <f t="array" ref="F97">INDEX('Motivos detalle'!$F:$F,$B97)</f>
        <v>4.4600000000000001E-2</v>
      </c>
      <c r="G97" s="19" cm="1">
        <f t="array" ref="G97">INDEX('Motivos detalle'!$G:$G,$B97)</f>
        <v>58.54</v>
      </c>
      <c r="H97" s="19" cm="1">
        <f t="array" ref="H97">INDEX('Motivos detalle'!$H:$H,$B97)</f>
        <v>58.05</v>
      </c>
      <c r="I97" s="18">
        <f t="shared" si="11"/>
        <v>8.4409991386735772E-3</v>
      </c>
      <c r="J97" s="16" cm="1">
        <f t="array" ref="J97">IFERROR(_xlfn.AGGREGATE(15,6,ROW('Motivos detalle'!$C$2:$C$274)/(('Motivos detalle'!$C$2:$C$274="SALE")*('Motivos detalle'!$B$2:$B$274=C97)*(ROW('Motivos detalle'!$C$2:$C$274)&gt;B97)),1),"")</f>
        <v>192</v>
      </c>
      <c r="K97" s="17" cm="1">
        <f t="array" ref="K97">IF($J97="","",INDEX('Motivos detalle'!$A:$A,$J97))</f>
        <v>45156</v>
      </c>
      <c r="L97" s="19" cm="1">
        <f t="array" ref="L97">IF($J97="","",INDEX('Motivos detalle'!$G:$G,$J97))</f>
        <v>62.9</v>
      </c>
      <c r="M97" s="19" cm="1">
        <f t="array" ref="M97">IF($J97="","",INDEX('Motivos detalle'!$H:$H,$J97))</f>
        <v>63.17</v>
      </c>
      <c r="N97" s="16" t="str" cm="1">
        <f t="array" ref="N97">IF($J97="","Abierto",INDEX('Motivos detalle'!$D:$D,$J97))</f>
        <v>ruptura piso Donchian</v>
      </c>
      <c r="O97" s="16" cm="1">
        <f t="array" ref="O97">IF($J97="","",INDEX('Motivos detalle'!$E:$E,$J97))</f>
        <v>2</v>
      </c>
      <c r="P97">
        <f t="shared" si="12"/>
        <v>93</v>
      </c>
      <c r="Q97" s="14">
        <f t="shared" si="13"/>
        <v>7.4478988725657613E-2</v>
      </c>
      <c r="R97" t="str">
        <f t="shared" si="14"/>
        <v>Ganador</v>
      </c>
      <c r="S97" t="str">
        <f>VLOOKUP(F97,Parametros!$A$25:$B$29,2,TRUE)</f>
        <v>0% a 5%</v>
      </c>
      <c r="T97" s="14">
        <f t="shared" si="15"/>
        <v>-4.274180782016801E-3</v>
      </c>
      <c r="U97" cm="1">
        <f t="array" ref="U97">IF(J97="","",IFERROR(_xlfn.AGGREGATE(15,6,ROW('Motivos detalle'!$C$2:$C$274)/(('Motivos detalle'!$C$2:$C$274="ENTRA")*('Motivos detalle'!$B$2:$B$274=C97)*(ROW('Motivos detalle'!$C$2:$C$274)&gt;J97)),1),""))</f>
        <v>196</v>
      </c>
      <c r="V97" s="17" cm="1">
        <f t="array" ref="V97">IF(U97="","",INDEX('Motivos detalle'!$A:$A,U97))</f>
        <v>45210</v>
      </c>
      <c r="W97">
        <f t="shared" si="16"/>
        <v>54</v>
      </c>
      <c r="X97" s="19" cm="1">
        <f t="array" ref="X97">IF(U97="","",INDEX('Motivos detalle'!$G:$G,U97))</f>
        <v>66.52</v>
      </c>
      <c r="Y97" t="str">
        <f>IF(W97="","No",IF(W97&lt;Parametros!$B$4,"Sí","No"))</f>
        <v>No</v>
      </c>
      <c r="Z97" s="14" t="str">
        <f t="shared" si="17"/>
        <v/>
      </c>
      <c r="AA97" t="str">
        <f>IF(F97&gt;Parametros!$B$7,"Sí","No")</f>
        <v>Sí</v>
      </c>
      <c r="AB97" s="15">
        <f>VLOOKUP(YEAR(D97),Parametros!$A$11:$B$21,2,FALSE)</f>
        <v>5.0999999999999997E-2</v>
      </c>
      <c r="AC97" t="str">
        <f t="shared" si="18"/>
        <v>No</v>
      </c>
      <c r="AD97" t="str">
        <f>IF(N97="ruptura piso Donchian",IF(T97&gt;-Parametros!$B$6,"Sí","No"),"")</f>
        <v>No</v>
      </c>
      <c r="AE97" s="15">
        <f>IF(J97="","",(L97*(1-Parametros!$B$32))/(G97*(1+Parametros!$B$32))-1)</f>
        <v>7.0189651445315748E-2</v>
      </c>
      <c r="AF97" s="15">
        <f t="shared" si="19"/>
        <v>4.289337280341865E-3</v>
      </c>
    </row>
    <row r="98" spans="1:32" x14ac:dyDescent="0.3">
      <c r="A98">
        <f t="shared" si="10"/>
        <v>95</v>
      </c>
      <c r="B98" cm="1">
        <f t="array" ref="B98">IFERROR(_xlfn.AGGREGATE(15,6,ROW('Motivos detalle'!$C$2:$C$274)/('Motivos detalle'!$C$2:$C$274="ENTRA"),A98),"")</f>
        <v>188</v>
      </c>
      <c r="C98" s="16" t="str" cm="1">
        <f t="array" ref="C98">INDEX('Motivos detalle'!$B:$B,$B98)</f>
        <v>XLI</v>
      </c>
      <c r="D98" s="17" cm="1">
        <f t="array" ref="D98">INDEX('Motivos detalle'!$A:$A,$B98)</f>
        <v>45084</v>
      </c>
      <c r="E98" s="16" cm="1">
        <f t="array" ref="E98">INDEX('Motivos detalle'!$E:$E,$B98)</f>
        <v>2</v>
      </c>
      <c r="F98" s="18" cm="1">
        <f t="array" ref="F98">INDEX('Motivos detalle'!$F:$F,$B98)</f>
        <v>8.7599999999999997E-2</v>
      </c>
      <c r="G98" s="19" cm="1">
        <f t="array" ref="G98">INDEX('Motivos detalle'!$G:$G,$B98)</f>
        <v>97.76</v>
      </c>
      <c r="H98" s="19" cm="1">
        <f t="array" ref="H98">INDEX('Motivos detalle'!$H:$H,$B98)</f>
        <v>96.57</v>
      </c>
      <c r="I98" s="18">
        <f t="shared" si="11"/>
        <v>1.2322667495081374E-2</v>
      </c>
      <c r="J98" s="16" cm="1">
        <f t="array" ref="J98">IFERROR(_xlfn.AGGREGATE(15,6,ROW('Motivos detalle'!$C$2:$C$274)/(('Motivos detalle'!$C$2:$C$274="SALE")*('Motivos detalle'!$B$2:$B$274=C98)*(ROW('Motivos detalle'!$C$2:$C$274)&gt;B98)),1),"")</f>
        <v>191</v>
      </c>
      <c r="K98" s="17" cm="1">
        <f t="array" ref="K98">IF($J98="","",INDEX('Motivos detalle'!$A:$A,$J98))</f>
        <v>45153</v>
      </c>
      <c r="L98" s="19" cm="1">
        <f t="array" ref="L98">IF($J98="","",INDEX('Motivos detalle'!$G:$G,$J98))</f>
        <v>102.99</v>
      </c>
      <c r="M98" s="19" cm="1">
        <f t="array" ref="M98">IF($J98="","",INDEX('Motivos detalle'!$H:$H,$J98))</f>
        <v>103.5</v>
      </c>
      <c r="N98" s="16" t="str" cm="1">
        <f t="array" ref="N98">IF($J98="","Abierto",INDEX('Motivos detalle'!$D:$D,$J98))</f>
        <v>ruptura piso Donchian</v>
      </c>
      <c r="O98" s="16" cm="1">
        <f t="array" ref="O98">IF($J98="","",INDEX('Motivos detalle'!$E:$E,$J98))</f>
        <v>4</v>
      </c>
      <c r="P98">
        <f t="shared" si="12"/>
        <v>69</v>
      </c>
      <c r="Q98" s="14">
        <f t="shared" si="13"/>
        <v>5.3498363338788657E-2</v>
      </c>
      <c r="R98" t="str">
        <f t="shared" si="14"/>
        <v>Ganador</v>
      </c>
      <c r="S98" t="str">
        <f>VLOOKUP(F98,Parametros!$A$25:$B$29,2,TRUE)</f>
        <v>5% a 15%</v>
      </c>
      <c r="T98" s="14">
        <f t="shared" si="15"/>
        <v>-4.9275362318841331E-3</v>
      </c>
      <c r="U98" cm="1">
        <f t="array" ref="U98">IF(J98="","",IFERROR(_xlfn.AGGREGATE(15,6,ROW('Motivos detalle'!$C$2:$C$274)/(('Motivos detalle'!$C$2:$C$274="ENTRA")*('Motivos detalle'!$B$2:$B$274=C98)*(ROW('Motivos detalle'!$C$2:$C$274)&gt;J98)),1),""))</f>
        <v>222</v>
      </c>
      <c r="V98" s="17" cm="1">
        <f t="array" ref="V98">IF(U98="","",INDEX('Motivos detalle'!$A:$A,U98))</f>
        <v>45607</v>
      </c>
      <c r="W98">
        <f t="shared" si="16"/>
        <v>454</v>
      </c>
      <c r="X98" s="19" cm="1">
        <f t="array" ref="X98">IF(U98="","",INDEX('Motivos detalle'!$G:$G,U98))</f>
        <v>139.80000000000001</v>
      </c>
      <c r="Y98" t="str">
        <f>IF(W98="","No",IF(W98&lt;Parametros!$B$4,"Sí","No"))</f>
        <v>No</v>
      </c>
      <c r="Z98" s="14" t="str">
        <f t="shared" si="17"/>
        <v/>
      </c>
      <c r="AA98" t="str">
        <f>IF(F98&gt;Parametros!$B$7,"Sí","No")</f>
        <v>Sí</v>
      </c>
      <c r="AB98" s="15">
        <f>VLOOKUP(YEAR(D98),Parametros!$A$11:$B$21,2,FALSE)</f>
        <v>5.0999999999999997E-2</v>
      </c>
      <c r="AC98" t="str">
        <f t="shared" si="18"/>
        <v>Sí</v>
      </c>
      <c r="AD98" t="str">
        <f>IF(N98="ruptura piso Donchian",IF(T98&gt;-Parametros!$B$6,"Sí","No"),"")</f>
        <v>No</v>
      </c>
      <c r="AE98" s="15">
        <f>IF(J98="","",(L98*(1-Parametros!$B$32))/(G98*(1+Parametros!$B$32))-1)</f>
        <v>4.9292781050011225E-2</v>
      </c>
      <c r="AF98" s="15">
        <f t="shared" si="19"/>
        <v>4.2055822887774319E-3</v>
      </c>
    </row>
    <row r="99" spans="1:32" x14ac:dyDescent="0.3">
      <c r="A99">
        <f t="shared" si="10"/>
        <v>96</v>
      </c>
      <c r="B99" cm="1">
        <f t="array" ref="B99">IFERROR(_xlfn.AGGREGATE(15,6,ROW('Motivos detalle'!$C$2:$C$274)/('Motivos detalle'!$C$2:$C$274="ENTRA"),A99),"")</f>
        <v>190</v>
      </c>
      <c r="C99" s="16" t="str" cm="1">
        <f t="array" ref="C99">INDEX('Motivos detalle'!$B:$B,$B99)</f>
        <v>XLE</v>
      </c>
      <c r="D99" s="17" cm="1">
        <f t="array" ref="D99">INDEX('Motivos detalle'!$A:$A,$B99)</f>
        <v>45147</v>
      </c>
      <c r="E99" s="16" cm="1">
        <f t="array" ref="E99">INDEX('Motivos detalle'!$E:$E,$B99)</f>
        <v>1</v>
      </c>
      <c r="F99" s="18" cm="1">
        <f t="array" ref="F99">INDEX('Motivos detalle'!$F:$F,$B99)</f>
        <v>0.25490000000000002</v>
      </c>
      <c r="G99" s="19" cm="1">
        <f t="array" ref="G99">INDEX('Motivos detalle'!$G:$G,$B99)</f>
        <v>40.22</v>
      </c>
      <c r="H99" s="19" cm="1">
        <f t="array" ref="H99">INDEX('Motivos detalle'!$H:$H,$B99)</f>
        <v>40.08</v>
      </c>
      <c r="I99" s="18">
        <f t="shared" si="11"/>
        <v>3.493013972055925E-3</v>
      </c>
      <c r="J99" s="16" cm="1">
        <f t="array" ref="J99">IFERROR(_xlfn.AGGREGATE(15,6,ROW('Motivos detalle'!$C$2:$C$274)/(('Motivos detalle'!$C$2:$C$274="SALE")*('Motivos detalle'!$B$2:$B$274=C99)*(ROW('Motivos detalle'!$C$2:$C$274)&gt;B99)),1),"")</f>
        <v>195</v>
      </c>
      <c r="K99" s="17" cm="1">
        <f t="array" ref="K99">IF($J99="","",INDEX('Motivos detalle'!$A:$A,$J99))</f>
        <v>45201</v>
      </c>
      <c r="L99" s="19" cm="1">
        <f t="array" ref="L99">IF($J99="","",INDEX('Motivos detalle'!$G:$G,$J99))</f>
        <v>40.53</v>
      </c>
      <c r="M99" s="19" cm="1">
        <f t="array" ref="M99">IF($J99="","",INDEX('Motivos detalle'!$H:$H,$J99))</f>
        <v>40.729999999999997</v>
      </c>
      <c r="N99" s="16" t="str" cm="1">
        <f t="array" ref="N99">IF($J99="","Abierto",INDEX('Motivos detalle'!$D:$D,$J99))</f>
        <v>ruptura piso Donchian</v>
      </c>
      <c r="O99" s="16" cm="1">
        <f t="array" ref="O99">IF($J99="","",INDEX('Motivos detalle'!$E:$E,$J99))</f>
        <v>3</v>
      </c>
      <c r="P99">
        <f t="shared" si="12"/>
        <v>54</v>
      </c>
      <c r="Q99" s="14">
        <f t="shared" si="13"/>
        <v>7.7076081551468167E-3</v>
      </c>
      <c r="R99" t="str">
        <f t="shared" si="14"/>
        <v>Ganador</v>
      </c>
      <c r="S99" t="str">
        <f>VLOOKUP(F99,Parametros!$A$25:$B$29,2,TRUE)</f>
        <v>15% a 30%</v>
      </c>
      <c r="T99" s="14">
        <f t="shared" si="15"/>
        <v>-4.9103854652589041E-3</v>
      </c>
      <c r="U99" cm="1">
        <f t="array" ref="U99">IF(J99="","",IFERROR(_xlfn.AGGREGATE(15,6,ROW('Motivos detalle'!$C$2:$C$274)/(('Motivos detalle'!$C$2:$C$274="ENTRA")*('Motivos detalle'!$B$2:$B$274=C99)*(ROW('Motivos detalle'!$C$2:$C$274)&gt;J99)),1),""))</f>
        <v>256</v>
      </c>
      <c r="V99" s="17" cm="1">
        <f t="array" ref="V99">IF(U99="","",INDEX('Motivos detalle'!$A:$A,U99))</f>
        <v>46057</v>
      </c>
      <c r="W99">
        <f t="shared" si="16"/>
        <v>856</v>
      </c>
      <c r="X99" s="19" cm="1">
        <f t="array" ref="X99">IF(U99="","",INDEX('Motivos detalle'!$G:$G,U99))</f>
        <v>52.11</v>
      </c>
      <c r="Y99" t="str">
        <f>IF(W99="","No",IF(W99&lt;Parametros!$B$4,"Sí","No"))</f>
        <v>No</v>
      </c>
      <c r="Z99" s="14" t="str">
        <f t="shared" si="17"/>
        <v/>
      </c>
      <c r="AA99" t="str">
        <f>IF(F99&gt;Parametros!$B$7,"Sí","No")</f>
        <v>Sí</v>
      </c>
      <c r="AB99" s="15">
        <f>VLOOKUP(YEAR(D99),Parametros!$A$11:$B$21,2,FALSE)</f>
        <v>5.0999999999999997E-2</v>
      </c>
      <c r="AC99" t="str">
        <f t="shared" si="18"/>
        <v>Sí</v>
      </c>
      <c r="AD99" t="str">
        <f>IF(N99="ruptura piso Donchian",IF(T99&gt;-Parametros!$B$6,"Sí","No"),"")</f>
        <v>No</v>
      </c>
      <c r="AE99" s="15">
        <f>IF(J99="","",(L99*(1-Parametros!$B$32))/(G99*(1+Parametros!$B$32))-1)</f>
        <v>3.6848232922519486E-3</v>
      </c>
      <c r="AF99" s="15">
        <f t="shared" si="19"/>
        <v>4.0227848628948681E-3</v>
      </c>
    </row>
    <row r="100" spans="1:32" x14ac:dyDescent="0.3">
      <c r="A100">
        <f t="shared" si="10"/>
        <v>97</v>
      </c>
      <c r="B100" cm="1">
        <f t="array" ref="B100">IFERROR(_xlfn.AGGREGATE(15,6,ROW('Motivos detalle'!$C$2:$C$274)/('Motivos detalle'!$C$2:$C$274="ENTRA"),A100),"")</f>
        <v>193</v>
      </c>
      <c r="C100" s="16" t="str" cm="1">
        <f t="array" ref="C100">INDEX('Motivos detalle'!$B:$B,$B100)</f>
        <v>XLK</v>
      </c>
      <c r="D100" s="17" cm="1">
        <f t="array" ref="D100">INDEX('Motivos detalle'!$A:$A,$B100)</f>
        <v>45169</v>
      </c>
      <c r="E100" s="16" cm="1">
        <f t="array" ref="E100">INDEX('Motivos detalle'!$E:$E,$B100)</f>
        <v>1</v>
      </c>
      <c r="F100" s="18" cm="1">
        <f t="array" ref="F100">INDEX('Motivos detalle'!$F:$F,$B100)</f>
        <v>0.29849999999999999</v>
      </c>
      <c r="G100" s="19" cm="1">
        <f t="array" ref="G100">INDEX('Motivos detalle'!$G:$G,$B100)</f>
        <v>86.11</v>
      </c>
      <c r="H100" s="19" cm="1">
        <f t="array" ref="H100">INDEX('Motivos detalle'!$H:$H,$B100)</f>
        <v>85.78</v>
      </c>
      <c r="I100" s="18">
        <f t="shared" si="11"/>
        <v>3.8470505945442657E-3</v>
      </c>
      <c r="J100" s="16" cm="1">
        <f t="array" ref="J100">IFERROR(_xlfn.AGGREGATE(15,6,ROW('Motivos detalle'!$C$2:$C$274)/(('Motivos detalle'!$C$2:$C$274="SALE")*('Motivos detalle'!$B$2:$B$274=C100)*(ROW('Motivos detalle'!$C$2:$C$274)&gt;B100)),1),"")</f>
        <v>194</v>
      </c>
      <c r="K100" s="17" cm="1">
        <f t="array" ref="K100">IF($J100="","",INDEX('Motivos detalle'!$A:$A,$J100))</f>
        <v>45190</v>
      </c>
      <c r="L100" s="19" cm="1">
        <f t="array" ref="L100">IF($J100="","",INDEX('Motivos detalle'!$G:$G,$J100))</f>
        <v>80.59</v>
      </c>
      <c r="M100" s="19" cm="1">
        <f t="array" ref="M100">IF($J100="","",INDEX('Motivos detalle'!$H:$H,$J100))</f>
        <v>81.459999999999994</v>
      </c>
      <c r="N100" s="16" t="str" cm="1">
        <f t="array" ref="N100">IF($J100="","Abierto",INDEX('Motivos detalle'!$D:$D,$J100))</f>
        <v>ruptura piso Donchian</v>
      </c>
      <c r="O100" s="16" cm="1">
        <f t="array" ref="O100">IF($J100="","",INDEX('Motivos detalle'!$E:$E,$J100))</f>
        <v>2</v>
      </c>
      <c r="P100">
        <f t="shared" si="12"/>
        <v>21</v>
      </c>
      <c r="Q100" s="14">
        <f t="shared" si="13"/>
        <v>-6.4104052955521906E-2</v>
      </c>
      <c r="R100" t="str">
        <f t="shared" si="14"/>
        <v>Perdedor</v>
      </c>
      <c r="S100" t="str">
        <f>VLOOKUP(F100,Parametros!$A$25:$B$29,2,TRUE)</f>
        <v>15% a 30%</v>
      </c>
      <c r="T100" s="14">
        <f t="shared" si="15"/>
        <v>-1.0680088386938236E-2</v>
      </c>
      <c r="U100" cm="1">
        <f t="array" ref="U100">IF(J100="","",IFERROR(_xlfn.AGGREGATE(15,6,ROW('Motivos detalle'!$C$2:$C$274)/(('Motivos detalle'!$C$2:$C$274="ENTRA")*('Motivos detalle'!$B$2:$B$274=C100)*(ROW('Motivos detalle'!$C$2:$C$274)&gt;J100)),1),""))</f>
        <v>198</v>
      </c>
      <c r="V100" s="17" cm="1">
        <f t="array" ref="V100">IF(U100="","",INDEX('Motivos detalle'!$A:$A,U100))</f>
        <v>45237</v>
      </c>
      <c r="W100">
        <f t="shared" si="16"/>
        <v>47</v>
      </c>
      <c r="X100" s="19" cm="1">
        <f t="array" ref="X100">IF(U100="","",INDEX('Motivos detalle'!$G:$G,U100))</f>
        <v>85.86</v>
      </c>
      <c r="Y100" t="str">
        <f>IF(W100="","No",IF(W100&lt;Parametros!$B$4,"Sí","No"))</f>
        <v>No</v>
      </c>
      <c r="Z100" s="14" t="str">
        <f t="shared" si="17"/>
        <v/>
      </c>
      <c r="AA100" t="str">
        <f>IF(F100&gt;Parametros!$B$7,"Sí","No")</f>
        <v>Sí</v>
      </c>
      <c r="AB100" s="15">
        <f>VLOOKUP(YEAR(D100),Parametros!$A$11:$B$21,2,FALSE)</f>
        <v>5.0999999999999997E-2</v>
      </c>
      <c r="AC100" t="str">
        <f t="shared" si="18"/>
        <v>Sí</v>
      </c>
      <c r="AD100" t="str">
        <f>IF(N100="ruptura piso Donchian",IF(T100&gt;-Parametros!$B$6,"Sí","No"),"")</f>
        <v>No</v>
      </c>
      <c r="AE100" s="15">
        <f>IF(J100="","",(L100*(1-Parametros!$B$32))/(G100*(1+Parametros!$B$32))-1)</f>
        <v>-6.7840164520569735E-2</v>
      </c>
      <c r="AF100" s="15">
        <f t="shared" si="19"/>
        <v>3.7361115650478283E-3</v>
      </c>
    </row>
    <row r="101" spans="1:32" x14ac:dyDescent="0.3">
      <c r="A101">
        <f t="shared" si="10"/>
        <v>98</v>
      </c>
      <c r="B101" cm="1">
        <f t="array" ref="B101">IFERROR(_xlfn.AGGREGATE(15,6,ROW('Motivos detalle'!$C$2:$C$274)/('Motivos detalle'!$C$2:$C$274="ENTRA"),A101),"")</f>
        <v>196</v>
      </c>
      <c r="C101" s="16" t="str" cm="1">
        <f t="array" ref="C101">INDEX('Motivos detalle'!$B:$B,$B101)</f>
        <v>XLC</v>
      </c>
      <c r="D101" s="17" cm="1">
        <f t="array" ref="D101">INDEX('Motivos detalle'!$A:$A,$B101)</f>
        <v>45210</v>
      </c>
      <c r="E101" s="16" cm="1">
        <f t="array" ref="E101">INDEX('Motivos detalle'!$E:$E,$B101)</f>
        <v>2</v>
      </c>
      <c r="F101" s="18" cm="1">
        <f t="array" ref="F101">INDEX('Motivos detalle'!$F:$F,$B101)</f>
        <v>0.42549999999999999</v>
      </c>
      <c r="G101" s="19" cm="1">
        <f t="array" ref="G101">INDEX('Motivos detalle'!$G:$G,$B101)</f>
        <v>66.52</v>
      </c>
      <c r="H101" s="19" cm="1">
        <f t="array" ref="H101">INDEX('Motivos detalle'!$H:$H,$B101)</f>
        <v>66.319999999999993</v>
      </c>
      <c r="I101" s="18">
        <f t="shared" si="11"/>
        <v>3.0156815440289808E-3</v>
      </c>
      <c r="J101" s="16" cm="1">
        <f t="array" ref="J101">IFERROR(_xlfn.AGGREGATE(15,6,ROW('Motivos detalle'!$C$2:$C$274)/(('Motivos detalle'!$C$2:$C$274="SALE")*('Motivos detalle'!$B$2:$B$274=C101)*(ROW('Motivos detalle'!$C$2:$C$274)&gt;B101)),1),"")</f>
        <v>197</v>
      </c>
      <c r="K101" s="17" cm="1">
        <f t="array" ref="K101">IF($J101="","",INDEX('Motivos detalle'!$A:$A,$J101))</f>
        <v>45225</v>
      </c>
      <c r="L101" s="19" cm="1">
        <f t="array" ref="L101">IF($J101="","",INDEX('Motivos detalle'!$G:$G,$J101))</f>
        <v>61.37</v>
      </c>
      <c r="M101" s="19" cm="1">
        <f t="array" ref="M101">IF($J101="","",INDEX('Motivos detalle'!$H:$H,$J101))</f>
        <v>62.69</v>
      </c>
      <c r="N101" s="16" t="str" cm="1">
        <f t="array" ref="N101">IF($J101="","Abierto",INDEX('Motivos detalle'!$D:$D,$J101))</f>
        <v>ruptura piso Donchian</v>
      </c>
      <c r="O101" s="16" cm="1">
        <f t="array" ref="O101">IF($J101="","",INDEX('Motivos detalle'!$E:$E,$J101))</f>
        <v>2</v>
      </c>
      <c r="P101">
        <f t="shared" si="12"/>
        <v>15</v>
      </c>
      <c r="Q101" s="14">
        <f t="shared" si="13"/>
        <v>-7.7420324714371547E-2</v>
      </c>
      <c r="R101" t="str">
        <f t="shared" si="14"/>
        <v>Perdedor</v>
      </c>
      <c r="S101" t="str">
        <f>VLOOKUP(F101,Parametros!$A$25:$B$29,2,TRUE)</f>
        <v>Más de 30%</v>
      </c>
      <c r="T101" s="14">
        <f t="shared" si="15"/>
        <v>-2.105598979103529E-2</v>
      </c>
      <c r="U101" cm="1">
        <f t="array" ref="U101">IF(J101="","",IFERROR(_xlfn.AGGREGATE(15,6,ROW('Motivos detalle'!$C$2:$C$274)/(('Motivos detalle'!$C$2:$C$274="ENTRA")*('Motivos detalle'!$B$2:$B$274=C101)*(ROW('Motivos detalle'!$C$2:$C$274)&gt;J101)),1),""))</f>
        <v>199</v>
      </c>
      <c r="V101" s="17" cm="1">
        <f t="array" ref="V101">IF(U101="","",INDEX('Motivos detalle'!$A:$A,U101))</f>
        <v>45244</v>
      </c>
      <c r="W101">
        <f t="shared" si="16"/>
        <v>19</v>
      </c>
      <c r="X101" s="19" cm="1">
        <f t="array" ref="X101">IF(U101="","",INDEX('Motivos detalle'!$G:$G,U101))</f>
        <v>67.290000000000006</v>
      </c>
      <c r="Y101" t="str">
        <f>IF(W101="","No",IF(W101&lt;Parametros!$B$4,"Sí","No"))</f>
        <v>No</v>
      </c>
      <c r="Z101" s="14" t="str">
        <f t="shared" si="17"/>
        <v/>
      </c>
      <c r="AA101" t="str">
        <f>IF(F101&gt;Parametros!$B$7,"Sí","No")</f>
        <v>Sí</v>
      </c>
      <c r="AB101" s="15">
        <f>VLOOKUP(YEAR(D101),Parametros!$A$11:$B$21,2,FALSE)</f>
        <v>5.0999999999999997E-2</v>
      </c>
      <c r="AC101" t="str">
        <f t="shared" si="18"/>
        <v>Sí</v>
      </c>
      <c r="AD101" t="str">
        <f>IF(N101="ruptura piso Donchian",IF(T101&gt;-Parametros!$B$6,"Sí","No"),"")</f>
        <v>No</v>
      </c>
      <c r="AE101" s="15">
        <f>IF(J101="","",(L101*(1-Parametros!$B$32))/(G101*(1+Parametros!$B$32))-1)</f>
        <v>-8.1103277509922966E-2</v>
      </c>
      <c r="AF101" s="15">
        <f t="shared" si="19"/>
        <v>3.6829527955514196E-3</v>
      </c>
    </row>
    <row r="102" spans="1:32" x14ac:dyDescent="0.3">
      <c r="A102">
        <f t="shared" si="10"/>
        <v>99</v>
      </c>
      <c r="B102" cm="1">
        <f t="array" ref="B102">IFERROR(_xlfn.AGGREGATE(15,6,ROW('Motivos detalle'!$C$2:$C$274)/('Motivos detalle'!$C$2:$C$274="ENTRA"),A102),"")</f>
        <v>198</v>
      </c>
      <c r="C102" s="16" t="str" cm="1">
        <f t="array" ref="C102">INDEX('Motivos detalle'!$B:$B,$B102)</f>
        <v>XLK</v>
      </c>
      <c r="D102" s="17" cm="1">
        <f t="array" ref="D102">INDEX('Motivos detalle'!$A:$A,$B102)</f>
        <v>45237</v>
      </c>
      <c r="E102" s="16" cm="1">
        <f t="array" ref="E102">INDEX('Motivos detalle'!$E:$E,$B102)</f>
        <v>2</v>
      </c>
      <c r="F102" s="18" cm="1">
        <f t="array" ref="F102">INDEX('Motivos detalle'!$F:$F,$B102)</f>
        <v>0.45810000000000001</v>
      </c>
      <c r="G102" s="19" cm="1">
        <f t="array" ref="G102">INDEX('Motivos detalle'!$G:$G,$B102)</f>
        <v>85.86</v>
      </c>
      <c r="H102" s="19" cm="1">
        <f t="array" ref="H102">INDEX('Motivos detalle'!$H:$H,$B102)</f>
        <v>84.96</v>
      </c>
      <c r="I102" s="18">
        <f t="shared" si="11"/>
        <v>1.0593220338983134E-2</v>
      </c>
      <c r="J102" s="16" cm="1">
        <f t="array" ref="J102">IFERROR(_xlfn.AGGREGATE(15,6,ROW('Motivos detalle'!$C$2:$C$274)/(('Motivos detalle'!$C$2:$C$274="SALE")*('Motivos detalle'!$B$2:$B$274=C102)*(ROW('Motivos detalle'!$C$2:$C$274)&gt;B102)),1),"")</f>
        <v>203</v>
      </c>
      <c r="K102" s="17" cm="1">
        <f t="array" ref="K102">IF($J102="","",INDEX('Motivos detalle'!$A:$A,$J102))</f>
        <v>45386</v>
      </c>
      <c r="L102" s="19" cm="1">
        <f t="array" ref="L102">IF($J102="","",INDEX('Motivos detalle'!$G:$G,$J102))</f>
        <v>100.65</v>
      </c>
      <c r="M102" s="19" cm="1">
        <f t="array" ref="M102">IF($J102="","",INDEX('Motivos detalle'!$H:$H,$J102))</f>
        <v>100.73</v>
      </c>
      <c r="N102" s="16" t="str" cm="1">
        <f t="array" ref="N102">IF($J102="","Abierto",INDEX('Motivos detalle'!$D:$D,$J102))</f>
        <v>ruptura piso Donchian</v>
      </c>
      <c r="O102" s="16" cm="1">
        <f t="array" ref="O102">IF($J102="","",INDEX('Motivos detalle'!$E:$E,$J102))</f>
        <v>2</v>
      </c>
      <c r="P102">
        <f t="shared" si="12"/>
        <v>149</v>
      </c>
      <c r="Q102" s="14">
        <f t="shared" si="13"/>
        <v>0.17225716282320058</v>
      </c>
      <c r="R102" t="str">
        <f t="shared" si="14"/>
        <v>Ganador</v>
      </c>
      <c r="S102" t="str">
        <f>VLOOKUP(F102,Parametros!$A$25:$B$29,2,TRUE)</f>
        <v>Más de 30%</v>
      </c>
      <c r="T102" s="14">
        <f t="shared" si="15"/>
        <v>-7.9420232304172611E-4</v>
      </c>
      <c r="U102" cm="1">
        <f t="array" ref="U102">IF(J102="","",IFERROR(_xlfn.AGGREGATE(15,6,ROW('Motivos detalle'!$C$2:$C$274)/(('Motivos detalle'!$C$2:$C$274="ENTRA")*('Motivos detalle'!$B$2:$B$274=C102)*(ROW('Motivos detalle'!$C$2:$C$274)&gt;J102)),1),""))</f>
        <v>207</v>
      </c>
      <c r="V102" s="17" cm="1">
        <f t="array" ref="V102">IF(U102="","",INDEX('Motivos detalle'!$A:$A,U102))</f>
        <v>45426</v>
      </c>
      <c r="W102">
        <f t="shared" si="16"/>
        <v>40</v>
      </c>
      <c r="X102" s="19" cm="1">
        <f t="array" ref="X102">IF(U102="","",INDEX('Motivos detalle'!$G:$G,U102))</f>
        <v>102.74</v>
      </c>
      <c r="Y102" t="str">
        <f>IF(W102="","No",IF(W102&lt;Parametros!$B$4,"Sí","No"))</f>
        <v>No</v>
      </c>
      <c r="Z102" s="14" t="str">
        <f t="shared" si="17"/>
        <v/>
      </c>
      <c r="AA102" t="str">
        <f>IF(F102&gt;Parametros!$B$7,"Sí","No")</f>
        <v>Sí</v>
      </c>
      <c r="AB102" s="15">
        <f>VLOOKUP(YEAR(D102),Parametros!$A$11:$B$21,2,FALSE)</f>
        <v>5.0999999999999997E-2</v>
      </c>
      <c r="AC102" t="str">
        <f t="shared" si="18"/>
        <v>Sí</v>
      </c>
      <c r="AD102" t="str">
        <f>IF(N102="ruptura piso Donchian",IF(T102&gt;-Parametros!$B$6,"Sí","No"),"")</f>
        <v>Sí</v>
      </c>
      <c r="AE102" s="15">
        <f>IF(J102="","",(L102*(1-Parametros!$B$32))/(G102*(1+Parametros!$B$32))-1)</f>
        <v>0.16757749351053319</v>
      </c>
      <c r="AF102" s="15">
        <f t="shared" si="19"/>
        <v>4.6796693126673894E-3</v>
      </c>
    </row>
    <row r="103" spans="1:32" x14ac:dyDescent="0.3">
      <c r="A103">
        <f t="shared" si="10"/>
        <v>100</v>
      </c>
      <c r="B103" cm="1">
        <f t="array" ref="B103">IFERROR(_xlfn.AGGREGATE(15,6,ROW('Motivos detalle'!$C$2:$C$274)/('Motivos detalle'!$C$2:$C$274="ENTRA"),A103),"")</f>
        <v>199</v>
      </c>
      <c r="C103" s="16" t="str" cm="1">
        <f t="array" ref="C103">INDEX('Motivos detalle'!$B:$B,$B103)</f>
        <v>XLC</v>
      </c>
      <c r="D103" s="17" cm="1">
        <f t="array" ref="D103">INDEX('Motivos detalle'!$A:$A,$B103)</f>
        <v>45244</v>
      </c>
      <c r="E103" s="16" cm="1">
        <f t="array" ref="E103">INDEX('Motivos detalle'!$E:$E,$B103)</f>
        <v>1</v>
      </c>
      <c r="F103" s="18" cm="1">
        <f t="array" ref="F103">INDEX('Motivos detalle'!$F:$F,$B103)</f>
        <v>0.40100000000000002</v>
      </c>
      <c r="G103" s="19" cm="1">
        <f t="array" ref="G103">INDEX('Motivos detalle'!$G:$G,$B103)</f>
        <v>67.290000000000006</v>
      </c>
      <c r="H103" s="19" cm="1">
        <f t="array" ref="H103">INDEX('Motivos detalle'!$H:$H,$B103)</f>
        <v>66.489999999999995</v>
      </c>
      <c r="I103" s="18">
        <f t="shared" si="11"/>
        <v>1.2031884493909129E-2</v>
      </c>
      <c r="J103" s="16" cm="1">
        <f t="array" ref="J103">IFERROR(_xlfn.AGGREGATE(15,6,ROW('Motivos detalle'!$C$2:$C$274)/(('Motivos detalle'!$C$2:$C$274="SALE")*('Motivos detalle'!$B$2:$B$274=C103)*(ROW('Motivos detalle'!$C$2:$C$274)&gt;B103)),1),"")</f>
        <v>205</v>
      </c>
      <c r="K103" s="17" cm="1">
        <f t="array" ref="K103">IF($J103="","",INDEX('Motivos detalle'!$A:$A,$J103))</f>
        <v>45401</v>
      </c>
      <c r="L103" s="19" cm="1">
        <f t="array" ref="L103">IF($J103="","",INDEX('Motivos detalle'!$G:$G,$J103))</f>
        <v>77.42</v>
      </c>
      <c r="M103" s="19" cm="1">
        <f t="array" ref="M103">IF($J103="","",INDEX('Motivos detalle'!$H:$H,$J103))</f>
        <v>77.47</v>
      </c>
      <c r="N103" s="16" t="str" cm="1">
        <f t="array" ref="N103">IF($J103="","Abierto",INDEX('Motivos detalle'!$D:$D,$J103))</f>
        <v>ruptura piso Donchian</v>
      </c>
      <c r="O103" s="16" cm="1">
        <f t="array" ref="O103">IF($J103="","",INDEX('Motivos detalle'!$E:$E,$J103))</f>
        <v>1</v>
      </c>
      <c r="P103">
        <f t="shared" si="12"/>
        <v>157</v>
      </c>
      <c r="Q103" s="14">
        <f t="shared" si="13"/>
        <v>0.15054242829543751</v>
      </c>
      <c r="R103" t="str">
        <f t="shared" si="14"/>
        <v>Ganador</v>
      </c>
      <c r="S103" t="str">
        <f>VLOOKUP(F103,Parametros!$A$25:$B$29,2,TRUE)</f>
        <v>Más de 30%</v>
      </c>
      <c r="T103" s="14">
        <f t="shared" si="15"/>
        <v>-6.454111268877627E-4</v>
      </c>
      <c r="U103" cm="1">
        <f t="array" ref="U103">IF(J103="","",IFERROR(_xlfn.AGGREGATE(15,6,ROW('Motivos detalle'!$C$2:$C$274)/(('Motivos detalle'!$C$2:$C$274="ENTRA")*('Motivos detalle'!$B$2:$B$274=C103)*(ROW('Motivos detalle'!$C$2:$C$274)&gt;J103)),1),""))</f>
        <v>208</v>
      </c>
      <c r="V103" s="17" cm="1">
        <f t="array" ref="V103">IF(U103="","",INDEX('Motivos detalle'!$A:$A,U103))</f>
        <v>45427</v>
      </c>
      <c r="W103">
        <f t="shared" si="16"/>
        <v>26</v>
      </c>
      <c r="X103" s="19" cm="1">
        <f t="array" ref="X103">IF(U103="","",INDEX('Motivos detalle'!$G:$G,U103))</f>
        <v>80.400000000000006</v>
      </c>
      <c r="Y103" t="str">
        <f>IF(W103="","No",IF(W103&lt;Parametros!$B$4,"Sí","No"))</f>
        <v>No</v>
      </c>
      <c r="Z103" s="14" t="str">
        <f t="shared" si="17"/>
        <v/>
      </c>
      <c r="AA103" t="str">
        <f>IF(F103&gt;Parametros!$B$7,"Sí","No")</f>
        <v>Sí</v>
      </c>
      <c r="AB103" s="15">
        <f>VLOOKUP(YEAR(D103),Parametros!$A$11:$B$21,2,FALSE)</f>
        <v>5.0999999999999997E-2</v>
      </c>
      <c r="AC103" t="str">
        <f t="shared" si="18"/>
        <v>Sí</v>
      </c>
      <c r="AD103" t="str">
        <f>IF(N103="ruptura piso Donchian",IF(T103&gt;-Parametros!$B$6,"Sí","No"),"")</f>
        <v>Sí</v>
      </c>
      <c r="AE103" s="15">
        <f>IF(J103="","",(L103*(1-Parametros!$B$32))/(G103*(1+Parametros!$B$32))-1)</f>
        <v>0.14594944454974712</v>
      </c>
      <c r="AF103" s="15">
        <f t="shared" si="19"/>
        <v>4.5929837456903932E-3</v>
      </c>
    </row>
    <row r="104" spans="1:32" x14ac:dyDescent="0.3">
      <c r="A104">
        <f t="shared" si="10"/>
        <v>101</v>
      </c>
      <c r="B104" cm="1">
        <f t="array" ref="B104">IFERROR(_xlfn.AGGREGATE(15,6,ROW('Motivos detalle'!$C$2:$C$274)/('Motivos detalle'!$C$2:$C$274="ENTRA"),A104),"")</f>
        <v>200</v>
      </c>
      <c r="C104" s="16" t="str" cm="1">
        <f t="array" ref="C104">INDEX('Motivos detalle'!$B:$B,$B104)</f>
        <v>XLY</v>
      </c>
      <c r="D104" s="17" cm="1">
        <f t="array" ref="D104">INDEX('Motivos detalle'!$A:$A,$B104)</f>
        <v>45244</v>
      </c>
      <c r="E104" s="16" cm="1">
        <f t="array" ref="E104">INDEX('Motivos detalle'!$E:$E,$B104)</f>
        <v>3</v>
      </c>
      <c r="F104" s="18" cm="1">
        <f t="array" ref="F104">INDEX('Motivos detalle'!$F:$F,$B104)</f>
        <v>0.16589999999999999</v>
      </c>
      <c r="G104" s="19" cm="1">
        <f t="array" ref="G104">INDEX('Motivos detalle'!$G:$G,$B104)</f>
        <v>81.900000000000006</v>
      </c>
      <c r="H104" s="19" cm="1">
        <f t="array" ref="H104">INDEX('Motivos detalle'!$H:$H,$B104)</f>
        <v>79.540000000000006</v>
      </c>
      <c r="I104" s="18">
        <f t="shared" si="11"/>
        <v>2.9670605984410292E-2</v>
      </c>
      <c r="J104" s="16" cm="1">
        <f t="array" ref="J104">IFERROR(_xlfn.AGGREGATE(15,6,ROW('Motivos detalle'!$C$2:$C$274)/(('Motivos detalle'!$C$2:$C$274="SALE")*('Motivos detalle'!$B$2:$B$274=C104)*(ROW('Motivos detalle'!$C$2:$C$274)&gt;B104)),1),"")</f>
        <v>201</v>
      </c>
      <c r="K104" s="17" cm="1">
        <f t="array" ref="K104">IF($J104="","",INDEX('Motivos detalle'!$A:$A,$J104))</f>
        <v>45316</v>
      </c>
      <c r="L104" s="19" cm="1">
        <f t="array" ref="L104">IF($J104="","",INDEX('Motivos detalle'!$G:$G,$J104))</f>
        <v>83.68</v>
      </c>
      <c r="M104" s="19" cm="1">
        <f t="array" ref="M104">IF($J104="","",INDEX('Motivos detalle'!$H:$H,$J104))</f>
        <v>83.71</v>
      </c>
      <c r="N104" s="16" t="str" cm="1">
        <f t="array" ref="N104">IF($J104="","Abierto",INDEX('Motivos detalle'!$D:$D,$J104))</f>
        <v>ruptura piso Donchian</v>
      </c>
      <c r="O104" s="16" cm="1">
        <f t="array" ref="O104">IF($J104="","",INDEX('Motivos detalle'!$E:$E,$J104))</f>
        <v>3</v>
      </c>
      <c r="P104">
        <f t="shared" si="12"/>
        <v>72</v>
      </c>
      <c r="Q104" s="14">
        <f t="shared" si="13"/>
        <v>2.1733821733821657E-2</v>
      </c>
      <c r="R104" t="str">
        <f t="shared" si="14"/>
        <v>Ganador</v>
      </c>
      <c r="S104" t="str">
        <f>VLOOKUP(F104,Parametros!$A$25:$B$29,2,TRUE)</f>
        <v>15% a 30%</v>
      </c>
      <c r="T104" s="14">
        <f t="shared" si="15"/>
        <v>-3.5838012184907786E-4</v>
      </c>
      <c r="U104" cm="1">
        <f t="array" ref="U104">IF(J104="","",IFERROR(_xlfn.AGGREGATE(15,6,ROW('Motivos detalle'!$C$2:$C$274)/(('Motivos detalle'!$C$2:$C$274="ENTRA")*('Motivos detalle'!$B$2:$B$274=C104)*(ROW('Motivos detalle'!$C$2:$C$274)&gt;J104)),1),""))</f>
        <v>202</v>
      </c>
      <c r="V104" s="17" cm="1">
        <f t="array" ref="V104">IF(U104="","",INDEX('Motivos detalle'!$A:$A,U104))</f>
        <v>45324</v>
      </c>
      <c r="W104">
        <f t="shared" si="16"/>
        <v>8</v>
      </c>
      <c r="X104" s="19" cm="1">
        <f t="array" ref="X104">IF(U104="","",INDEX('Motivos detalle'!$G:$G,U104))</f>
        <v>86.83</v>
      </c>
      <c r="Y104" t="str">
        <f>IF(W104="","No",IF(W104&lt;Parametros!$B$4,"Sí","No"))</f>
        <v>Sí</v>
      </c>
      <c r="Z104" s="14">
        <f t="shared" si="17"/>
        <v>3.7643403441682599E-2</v>
      </c>
      <c r="AA104" t="str">
        <f>IF(F104&gt;Parametros!$B$7,"Sí","No")</f>
        <v>Sí</v>
      </c>
      <c r="AB104" s="15">
        <f>VLOOKUP(YEAR(D104),Parametros!$A$11:$B$21,2,FALSE)</f>
        <v>5.0999999999999997E-2</v>
      </c>
      <c r="AC104" t="str">
        <f t="shared" si="18"/>
        <v>Sí</v>
      </c>
      <c r="AD104" t="str">
        <f>IF(N104="ruptura piso Donchian",IF(T104&gt;-Parametros!$B$6,"Sí","No"),"")</f>
        <v>Sí</v>
      </c>
      <c r="AE104" s="15">
        <f>IF(J104="","",(L104*(1-Parametros!$B$32))/(G104*(1+Parametros!$B$32))-1)</f>
        <v>1.7655044002349518E-2</v>
      </c>
      <c r="AF104" s="15">
        <f t="shared" si="19"/>
        <v>4.0787777314721385E-3</v>
      </c>
    </row>
    <row r="105" spans="1:32" x14ac:dyDescent="0.3">
      <c r="A105">
        <f t="shared" si="10"/>
        <v>102</v>
      </c>
      <c r="B105" cm="1">
        <f t="array" ref="B105">IFERROR(_xlfn.AGGREGATE(15,6,ROW('Motivos detalle'!$C$2:$C$274)/('Motivos detalle'!$C$2:$C$274="ENTRA"),A105),"")</f>
        <v>202</v>
      </c>
      <c r="C105" s="16" t="str" cm="1">
        <f t="array" ref="C105">INDEX('Motivos detalle'!$B:$B,$B105)</f>
        <v>XLY</v>
      </c>
      <c r="D105" s="17" cm="1">
        <f t="array" ref="D105">INDEX('Motivos detalle'!$A:$A,$B105)</f>
        <v>45324</v>
      </c>
      <c r="E105" s="16" cm="1">
        <f t="array" ref="E105">INDEX('Motivos detalle'!$E:$E,$B105)</f>
        <v>3</v>
      </c>
      <c r="F105" s="18" cm="1">
        <f t="array" ref="F105">INDEX('Motivos detalle'!$F:$F,$B105)</f>
        <v>0.1804</v>
      </c>
      <c r="G105" s="19" cm="1">
        <f t="array" ref="G105">INDEX('Motivos detalle'!$G:$G,$B105)</f>
        <v>86.83</v>
      </c>
      <c r="H105" s="19" cm="1">
        <f t="array" ref="H105">INDEX('Motivos detalle'!$H:$H,$B105)</f>
        <v>86.54</v>
      </c>
      <c r="I105" s="18">
        <f t="shared" si="11"/>
        <v>3.351051536861549E-3</v>
      </c>
      <c r="J105" s="16" cm="1">
        <f t="array" ref="J105">IFERROR(_xlfn.AGGREGATE(15,6,ROW('Motivos detalle'!$C$2:$C$274)/(('Motivos detalle'!$C$2:$C$274="SALE")*('Motivos detalle'!$B$2:$B$274=C105)*(ROW('Motivos detalle'!$C$2:$C$274)&gt;B105)),1),"")</f>
        <v>204</v>
      </c>
      <c r="K105" s="17" cm="1">
        <f t="array" ref="K105">IF($J105="","",INDEX('Motivos detalle'!$A:$A,$J105))</f>
        <v>45394</v>
      </c>
      <c r="L105" s="19" cm="1">
        <f t="array" ref="L105">IF($J105="","",INDEX('Motivos detalle'!$G:$G,$J105))</f>
        <v>86.91</v>
      </c>
      <c r="M105" s="19" cm="1">
        <f t="array" ref="M105">IF($J105="","",INDEX('Motivos detalle'!$H:$H,$J105))</f>
        <v>86.95</v>
      </c>
      <c r="N105" s="16" t="str" cm="1">
        <f t="array" ref="N105">IF($J105="","Abierto",INDEX('Motivos detalle'!$D:$D,$J105))</f>
        <v>ruptura piso Donchian</v>
      </c>
      <c r="O105" s="16" cm="1">
        <f t="array" ref="O105">IF($J105="","",INDEX('Motivos detalle'!$E:$E,$J105))</f>
        <v>5</v>
      </c>
      <c r="P105">
        <f t="shared" si="12"/>
        <v>70</v>
      </c>
      <c r="Q105" s="14">
        <f t="shared" si="13"/>
        <v>9.2134055050085983E-4</v>
      </c>
      <c r="R105" t="str">
        <f t="shared" si="14"/>
        <v>Ganador</v>
      </c>
      <c r="S105" t="str">
        <f>VLOOKUP(F105,Parametros!$A$25:$B$29,2,TRUE)</f>
        <v>15% a 30%</v>
      </c>
      <c r="T105" s="14">
        <f t="shared" si="15"/>
        <v>-4.6003450258780276E-4</v>
      </c>
      <c r="U105" cm="1">
        <f t="array" ref="U105">IF(J105="","",IFERROR(_xlfn.AGGREGATE(15,6,ROW('Motivos detalle'!$C$2:$C$274)/(('Motivos detalle'!$C$2:$C$274="ENTRA")*('Motivos detalle'!$B$2:$B$274=C105)*(ROW('Motivos detalle'!$C$2:$C$274)&gt;J105)),1),""))</f>
        <v>224</v>
      </c>
      <c r="V105" s="17" cm="1">
        <f t="array" ref="V105">IF(U105="","",INDEX('Motivos detalle'!$A:$A,U105))</f>
        <v>45642</v>
      </c>
      <c r="W105">
        <f t="shared" si="16"/>
        <v>248</v>
      </c>
      <c r="X105" s="19" cm="1">
        <f t="array" ref="X105">IF(U105="","",INDEX('Motivos detalle'!$G:$G,U105))</f>
        <v>117.62</v>
      </c>
      <c r="Y105" t="str">
        <f>IF(W105="","No",IF(W105&lt;Parametros!$B$4,"Sí","No"))</f>
        <v>No</v>
      </c>
      <c r="Z105" s="14" t="str">
        <f t="shared" si="17"/>
        <v/>
      </c>
      <c r="AA105" t="str">
        <f>IF(F105&gt;Parametros!$B$7,"Sí","No")</f>
        <v>Sí</v>
      </c>
      <c r="AB105" s="15">
        <f>VLOOKUP(YEAR(D105),Parametros!$A$11:$B$21,2,FALSE)</f>
        <v>0.05</v>
      </c>
      <c r="AC105" t="str">
        <f t="shared" si="18"/>
        <v>Sí</v>
      </c>
      <c r="AD105" t="str">
        <f>IF(N105="ruptura piso Donchian",IF(T105&gt;-Parametros!$B$6,"Sí","No"),"")</f>
        <v>Sí</v>
      </c>
      <c r="AE105" s="15">
        <f>IF(J105="","",(L105*(1-Parametros!$B$32))/(G105*(1+Parametros!$B$32))-1)</f>
        <v>-3.0743534237526182E-3</v>
      </c>
      <c r="AF105" s="15">
        <f t="shared" si="19"/>
        <v>3.9956939742534781E-3</v>
      </c>
    </row>
    <row r="106" spans="1:32" x14ac:dyDescent="0.3">
      <c r="A106">
        <f t="shared" si="10"/>
        <v>103</v>
      </c>
      <c r="B106" cm="1">
        <f t="array" ref="B106">IFERROR(_xlfn.AGGREGATE(15,6,ROW('Motivos detalle'!$C$2:$C$274)/('Motivos detalle'!$C$2:$C$274="ENTRA"),A106),"")</f>
        <v>206</v>
      </c>
      <c r="C106" s="16" t="str" cm="1">
        <f t="array" ref="C106">INDEX('Motivos detalle'!$B:$B,$B106)</f>
        <v>XLF</v>
      </c>
      <c r="D106" s="17" cm="1">
        <f t="array" ref="D106">INDEX('Motivos detalle'!$A:$A,$B106)</f>
        <v>45421</v>
      </c>
      <c r="E106" s="16" cm="1">
        <f t="array" ref="E106">INDEX('Motivos detalle'!$E:$E,$B106)</f>
        <v>3</v>
      </c>
      <c r="F106" s="18" cm="1">
        <f t="array" ref="F106">INDEX('Motivos detalle'!$F:$F,$B106)</f>
        <v>0.31469999999999998</v>
      </c>
      <c r="G106" s="19" cm="1">
        <f t="array" ref="G106">INDEX('Motivos detalle'!$G:$G,$B106)</f>
        <v>40.270000000000003</v>
      </c>
      <c r="H106" s="19" cm="1">
        <f t="array" ref="H106">INDEX('Motivos detalle'!$H:$H,$B106)</f>
        <v>40.03</v>
      </c>
      <c r="I106" s="18">
        <f t="shared" si="11"/>
        <v>5.9955033724707896E-3</v>
      </c>
      <c r="J106" s="16" cm="1">
        <f t="array" ref="J106">IFERROR(_xlfn.AGGREGATE(15,6,ROW('Motivos detalle'!$C$2:$C$274)/(('Motivos detalle'!$C$2:$C$274="SALE")*('Motivos detalle'!$B$2:$B$274=C106)*(ROW('Motivos detalle'!$C$2:$C$274)&gt;B106)),1),"")</f>
        <v>211</v>
      </c>
      <c r="K106" s="17" cm="1">
        <f t="array" ref="K106">IF($J106="","",INDEX('Motivos detalle'!$A:$A,$J106))</f>
        <v>45509</v>
      </c>
      <c r="L106" s="19" cm="1">
        <f t="array" ref="L106">IF($J106="","",INDEX('Motivos detalle'!$G:$G,$J106))</f>
        <v>39.619999999999997</v>
      </c>
      <c r="M106" s="19" cm="1">
        <f t="array" ref="M106">IF($J106="","",INDEX('Motivos detalle'!$H:$H,$J106))</f>
        <v>40.14</v>
      </c>
      <c r="N106" s="16" t="str" cm="1">
        <f t="array" ref="N106">IF($J106="","Abierto",INDEX('Motivos detalle'!$D:$D,$J106))</f>
        <v>ruptura piso Donchian</v>
      </c>
      <c r="O106" s="16" cm="1">
        <f t="array" ref="O106">IF($J106="","",INDEX('Motivos detalle'!$E:$E,$J106))</f>
        <v>2</v>
      </c>
      <c r="P106">
        <f t="shared" si="12"/>
        <v>88</v>
      </c>
      <c r="Q106" s="14">
        <f t="shared" si="13"/>
        <v>-1.6141047926496288E-2</v>
      </c>
      <c r="R106" t="str">
        <f t="shared" si="14"/>
        <v>Perdedor</v>
      </c>
      <c r="S106" t="str">
        <f>VLOOKUP(F106,Parametros!$A$25:$B$29,2,TRUE)</f>
        <v>Más de 30%</v>
      </c>
      <c r="T106" s="14">
        <f t="shared" si="15"/>
        <v>-1.2954658694569132E-2</v>
      </c>
      <c r="U106" cm="1">
        <f t="array" ref="U106">IF(J106="","",IFERROR(_xlfn.AGGREGATE(15,6,ROW('Motivos detalle'!$C$2:$C$274)/(('Motivos detalle'!$C$2:$C$274="ENTRA")*('Motivos detalle'!$B$2:$B$274=C106)*(ROW('Motivos detalle'!$C$2:$C$274)&gt;J106)),1),""))</f>
        <v>212</v>
      </c>
      <c r="V106" s="17" cm="1">
        <f t="array" ref="V106">IF(U106="","",INDEX('Motivos detalle'!$A:$A,U106))</f>
        <v>45527</v>
      </c>
      <c r="W106">
        <f t="shared" si="16"/>
        <v>18</v>
      </c>
      <c r="X106" s="19" cm="1">
        <f t="array" ref="X106">IF(U106="","",INDEX('Motivos detalle'!$G:$G,U106))</f>
        <v>43.1</v>
      </c>
      <c r="Y106" t="str">
        <f>IF(W106="","No",IF(W106&lt;Parametros!$B$4,"Sí","No"))</f>
        <v>No</v>
      </c>
      <c r="Z106" s="14" t="str">
        <f t="shared" si="17"/>
        <v/>
      </c>
      <c r="AA106" t="str">
        <f>IF(F106&gt;Parametros!$B$7,"Sí","No")</f>
        <v>Sí</v>
      </c>
      <c r="AB106" s="15">
        <f>VLOOKUP(YEAR(D106),Parametros!$A$11:$B$21,2,FALSE)</f>
        <v>0.05</v>
      </c>
      <c r="AC106" t="str">
        <f t="shared" si="18"/>
        <v>Sí</v>
      </c>
      <c r="AD106" t="str">
        <f>IF(N106="ruptura piso Donchian",IF(T106&gt;-Parametros!$B$6,"Sí","No"),"")</f>
        <v>No</v>
      </c>
      <c r="AE106" s="15">
        <f>IF(J106="","",(L106*(1-Parametros!$B$32))/(G106*(1+Parametros!$B$32))-1)</f>
        <v>-2.0068628573496228E-2</v>
      </c>
      <c r="AF106" s="15">
        <f t="shared" si="19"/>
        <v>3.9275806469999397E-3</v>
      </c>
    </row>
    <row r="107" spans="1:32" x14ac:dyDescent="0.3">
      <c r="A107">
        <f t="shared" si="10"/>
        <v>104</v>
      </c>
      <c r="B107" cm="1">
        <f t="array" ref="B107">IFERROR(_xlfn.AGGREGATE(15,6,ROW('Motivos detalle'!$C$2:$C$274)/('Motivos detalle'!$C$2:$C$274="ENTRA"),A107),"")</f>
        <v>207</v>
      </c>
      <c r="C107" s="16" t="str" cm="1">
        <f t="array" ref="C107">INDEX('Motivos detalle'!$B:$B,$B107)</f>
        <v>XLK</v>
      </c>
      <c r="D107" s="17" cm="1">
        <f t="array" ref="D107">INDEX('Motivos detalle'!$A:$A,$B107)</f>
        <v>45426</v>
      </c>
      <c r="E107" s="16" cm="1">
        <f t="array" ref="E107">INDEX('Motivos detalle'!$E:$E,$B107)</f>
        <v>1</v>
      </c>
      <c r="F107" s="18" cm="1">
        <f t="array" ref="F107">INDEX('Motivos detalle'!$F:$F,$B107)</f>
        <v>0.39140000000000003</v>
      </c>
      <c r="G107" s="19" cm="1">
        <f t="array" ref="G107">INDEX('Motivos detalle'!$G:$G,$B107)</f>
        <v>102.74</v>
      </c>
      <c r="H107" s="19" cm="1">
        <f t="array" ref="H107">INDEX('Motivos detalle'!$H:$H,$B107)</f>
        <v>102.19</v>
      </c>
      <c r="I107" s="18">
        <f t="shared" si="11"/>
        <v>5.3821313240043356E-3</v>
      </c>
      <c r="J107" s="16" cm="1">
        <f t="array" ref="J107">IFERROR(_xlfn.AGGREGATE(15,6,ROW('Motivos detalle'!$C$2:$C$274)/(('Motivos detalle'!$C$2:$C$274="SALE")*('Motivos detalle'!$B$2:$B$274=C107)*(ROW('Motivos detalle'!$C$2:$C$274)&gt;B107)),1),"")</f>
        <v>209</v>
      </c>
      <c r="K107" s="17" cm="1">
        <f t="array" ref="K107">IF($J107="","",INDEX('Motivos detalle'!$A:$A,$J107))</f>
        <v>45492</v>
      </c>
      <c r="L107" s="19" cm="1">
        <f t="array" ref="L107">IF($J107="","",INDEX('Motivos detalle'!$G:$G,$J107))</f>
        <v>109.11</v>
      </c>
      <c r="M107" s="19" cm="1">
        <f t="array" ref="M107">IF($J107="","",INDEX('Motivos detalle'!$H:$H,$J107))</f>
        <v>109.45</v>
      </c>
      <c r="N107" s="16" t="str" cm="1">
        <f t="array" ref="N107">IF($J107="","Abierto",INDEX('Motivos detalle'!$D:$D,$J107))</f>
        <v>ruptura piso Donchian</v>
      </c>
      <c r="O107" s="16" cm="1">
        <f t="array" ref="O107">IF($J107="","",INDEX('Motivos detalle'!$E:$E,$J107))</f>
        <v>3</v>
      </c>
      <c r="P107">
        <f t="shared" si="12"/>
        <v>66</v>
      </c>
      <c r="Q107" s="14">
        <f t="shared" si="13"/>
        <v>6.2001167996885487E-2</v>
      </c>
      <c r="R107" t="str">
        <f t="shared" si="14"/>
        <v>Ganador</v>
      </c>
      <c r="S107" t="str">
        <f>VLOOKUP(F107,Parametros!$A$25:$B$29,2,TRUE)</f>
        <v>Más de 30%</v>
      </c>
      <c r="T107" s="14">
        <f t="shared" si="15"/>
        <v>-3.1064412973961231E-3</v>
      </c>
      <c r="U107" cm="1">
        <f t="array" ref="U107">IF(J107="","",IFERROR(_xlfn.AGGREGATE(15,6,ROW('Motivos detalle'!$C$2:$C$274)/(('Motivos detalle'!$C$2:$C$274="ENTRA")*('Motivos detalle'!$B$2:$B$274=C107)*(ROW('Motivos detalle'!$C$2:$C$274)&gt;J107)),1),""))</f>
        <v>216</v>
      </c>
      <c r="V107" s="17" cm="1">
        <f t="array" ref="V107">IF(U107="","",INDEX('Motivos detalle'!$A:$A,U107))</f>
        <v>45561</v>
      </c>
      <c r="W107">
        <f t="shared" si="16"/>
        <v>69</v>
      </c>
      <c r="X107" s="19" cm="1">
        <f t="array" ref="X107">IF(U107="","",INDEX('Motivos detalle'!$G:$G,U107))</f>
        <v>112.45</v>
      </c>
      <c r="Y107" t="str">
        <f>IF(W107="","No",IF(W107&lt;Parametros!$B$4,"Sí","No"))</f>
        <v>No</v>
      </c>
      <c r="Z107" s="14" t="str">
        <f t="shared" si="17"/>
        <v/>
      </c>
      <c r="AA107" t="str">
        <f>IF(F107&gt;Parametros!$B$7,"Sí","No")</f>
        <v>Sí</v>
      </c>
      <c r="AB107" s="15">
        <f>VLOOKUP(YEAR(D107),Parametros!$A$11:$B$21,2,FALSE)</f>
        <v>0.05</v>
      </c>
      <c r="AC107" t="str">
        <f t="shared" si="18"/>
        <v>Sí</v>
      </c>
      <c r="AD107" t="str">
        <f>IF(N107="ruptura piso Donchian",IF(T107&gt;-Parametros!$B$6,"Sí","No"),"")</f>
        <v>No</v>
      </c>
      <c r="AE107" s="15">
        <f>IF(J107="","",(L107*(1-Parametros!$B$32))/(G107*(1+Parametros!$B$32))-1)</f>
        <v>5.7761642376139344E-2</v>
      </c>
      <c r="AF107" s="15">
        <f t="shared" si="19"/>
        <v>4.2395256207461429E-3</v>
      </c>
    </row>
    <row r="108" spans="1:32" x14ac:dyDescent="0.3">
      <c r="A108">
        <f t="shared" si="10"/>
        <v>105</v>
      </c>
      <c r="B108" cm="1">
        <f t="array" ref="B108">IFERROR(_xlfn.AGGREGATE(15,6,ROW('Motivos detalle'!$C$2:$C$274)/('Motivos detalle'!$C$2:$C$274="ENTRA"),A108),"")</f>
        <v>208</v>
      </c>
      <c r="C108" s="16" t="str" cm="1">
        <f t="array" ref="C108">INDEX('Motivos detalle'!$B:$B,$B108)</f>
        <v>XLC</v>
      </c>
      <c r="D108" s="17" cm="1">
        <f t="array" ref="D108">INDEX('Motivos detalle'!$A:$A,$B108)</f>
        <v>45427</v>
      </c>
      <c r="E108" s="16" cm="1">
        <f t="array" ref="E108">INDEX('Motivos detalle'!$E:$E,$B108)</f>
        <v>2</v>
      </c>
      <c r="F108" s="18" cm="1">
        <f t="array" ref="F108">INDEX('Motivos detalle'!$F:$F,$B108)</f>
        <v>0.38850000000000001</v>
      </c>
      <c r="G108" s="19" cm="1">
        <f t="array" ref="G108">INDEX('Motivos detalle'!$G:$G,$B108)</f>
        <v>80.400000000000006</v>
      </c>
      <c r="H108" s="19" cm="1">
        <f t="array" ref="H108">INDEX('Motivos detalle'!$H:$H,$B108)</f>
        <v>79.98</v>
      </c>
      <c r="I108" s="18">
        <f t="shared" si="11"/>
        <v>5.251312828207011E-3</v>
      </c>
      <c r="J108" s="16" cm="1">
        <f t="array" ref="J108">IFERROR(_xlfn.AGGREGATE(15,6,ROW('Motivos detalle'!$C$2:$C$274)/(('Motivos detalle'!$C$2:$C$274="SALE")*('Motivos detalle'!$B$2:$B$274=C108)*(ROW('Motivos detalle'!$C$2:$C$274)&gt;B108)),1),"")</f>
        <v>210</v>
      </c>
      <c r="K108" s="17" cm="1">
        <f t="array" ref="K108">IF($J108="","",INDEX('Motivos detalle'!$A:$A,$J108))</f>
        <v>45497</v>
      </c>
      <c r="L108" s="19" cm="1">
        <f t="array" ref="L108">IF($J108="","",INDEX('Motivos detalle'!$G:$G,$J108))</f>
        <v>81.19</v>
      </c>
      <c r="M108" s="19" cm="1">
        <f t="array" ref="M108">IF($J108="","",INDEX('Motivos detalle'!$H:$H,$J108))</f>
        <v>82.92</v>
      </c>
      <c r="N108" s="16" t="str" cm="1">
        <f t="array" ref="N108">IF($J108="","Abierto",INDEX('Motivos detalle'!$D:$D,$J108))</f>
        <v>ruptura piso Donchian</v>
      </c>
      <c r="O108" s="16" cm="1">
        <f t="array" ref="O108">IF($J108="","",INDEX('Motivos detalle'!$E:$E,$J108))</f>
        <v>1</v>
      </c>
      <c r="P108">
        <f t="shared" si="12"/>
        <v>70</v>
      </c>
      <c r="Q108" s="14">
        <f t="shared" si="13"/>
        <v>9.8258706467659884E-3</v>
      </c>
      <c r="R108" t="str">
        <f t="shared" si="14"/>
        <v>Ganador</v>
      </c>
      <c r="S108" t="str">
        <f>VLOOKUP(F108,Parametros!$A$25:$B$29,2,TRUE)</f>
        <v>Más de 30%</v>
      </c>
      <c r="T108" s="14">
        <f t="shared" si="15"/>
        <v>-2.0863482875060346E-2</v>
      </c>
      <c r="U108" cm="1">
        <f t="array" ref="U108">IF(J108="","",IFERROR(_xlfn.AGGREGATE(15,6,ROW('Motivos detalle'!$C$2:$C$274)/(('Motivos detalle'!$C$2:$C$274="ENTRA")*('Motivos detalle'!$B$2:$B$274=C108)*(ROW('Motivos detalle'!$C$2:$C$274)&gt;J108)),1),""))</f>
        <v>214</v>
      </c>
      <c r="V108" s="17" cm="1">
        <f t="array" ref="V108">IF(U108="","",INDEX('Motivos detalle'!$A:$A,U108))</f>
        <v>45554</v>
      </c>
      <c r="W108">
        <f t="shared" si="16"/>
        <v>57</v>
      </c>
      <c r="X108" s="19" cm="1">
        <f t="array" ref="X108">IF(U108="","",INDEX('Motivos detalle'!$G:$G,U108))</f>
        <v>86.83</v>
      </c>
      <c r="Y108" t="str">
        <f>IF(W108="","No",IF(W108&lt;Parametros!$B$4,"Sí","No"))</f>
        <v>No</v>
      </c>
      <c r="Z108" s="14" t="str">
        <f t="shared" si="17"/>
        <v/>
      </c>
      <c r="AA108" t="str">
        <f>IF(F108&gt;Parametros!$B$7,"Sí","No")</f>
        <v>Sí</v>
      </c>
      <c r="AB108" s="15">
        <f>VLOOKUP(YEAR(D108),Parametros!$A$11:$B$21,2,FALSE)</f>
        <v>0.05</v>
      </c>
      <c r="AC108" t="str">
        <f t="shared" si="18"/>
        <v>Sí</v>
      </c>
      <c r="AD108" t="str">
        <f>IF(N108="ruptura piso Donchian",IF(T108&gt;-Parametros!$B$6,"Sí","No"),"")</f>
        <v>No</v>
      </c>
      <c r="AE108" s="15">
        <f>IF(J108="","",(L108*(1-Parametros!$B$32))/(G108*(1+Parametros!$B$32))-1)</f>
        <v>5.7946296461801605E-3</v>
      </c>
      <c r="AF108" s="15">
        <f t="shared" si="19"/>
        <v>4.0312410005858279E-3</v>
      </c>
    </row>
    <row r="109" spans="1:32" x14ac:dyDescent="0.3">
      <c r="A109">
        <f t="shared" si="10"/>
        <v>106</v>
      </c>
      <c r="B109" cm="1">
        <f t="array" ref="B109">IFERROR(_xlfn.AGGREGATE(15,6,ROW('Motivos detalle'!$C$2:$C$274)/('Motivos detalle'!$C$2:$C$274="ENTRA"),A109),"")</f>
        <v>212</v>
      </c>
      <c r="C109" s="16" t="str" cm="1">
        <f t="array" ref="C109">INDEX('Motivos detalle'!$B:$B,$B109)</f>
        <v>XLF</v>
      </c>
      <c r="D109" s="17" cm="1">
        <f t="array" ref="D109">INDEX('Motivos detalle'!$A:$A,$B109)</f>
        <v>45527</v>
      </c>
      <c r="E109" s="16" cm="1">
        <f t="array" ref="E109">INDEX('Motivos detalle'!$E:$E,$B109)</f>
        <v>1</v>
      </c>
      <c r="F109" s="18" cm="1">
        <f t="array" ref="F109">INDEX('Motivos detalle'!$F:$F,$B109)</f>
        <v>0.33129999999999998</v>
      </c>
      <c r="G109" s="19" cm="1">
        <f t="array" ref="G109">INDEX('Motivos detalle'!$G:$G,$B109)</f>
        <v>43.1</v>
      </c>
      <c r="H109" s="19" cm="1">
        <f t="array" ref="H109">INDEX('Motivos detalle'!$H:$H,$B109)</f>
        <v>42.79</v>
      </c>
      <c r="I109" s="18">
        <f t="shared" si="11"/>
        <v>7.2446833372283859E-3</v>
      </c>
      <c r="J109" s="16" cm="1">
        <f t="array" ref="J109">IFERROR(_xlfn.AGGREGATE(15,6,ROW('Motivos detalle'!$C$2:$C$274)/(('Motivos detalle'!$C$2:$C$274="SALE")*('Motivos detalle'!$B$2:$B$274=C109)*(ROW('Motivos detalle'!$C$2:$C$274)&gt;B109)),1),"")</f>
        <v>225</v>
      </c>
      <c r="K109" s="17" cm="1">
        <f t="array" ref="K109">IF($J109="","",INDEX('Motivos detalle'!$A:$A,$J109))</f>
        <v>45643</v>
      </c>
      <c r="L109" s="19" cm="1">
        <f t="array" ref="L109">IF($J109="","",INDEX('Motivos detalle'!$G:$G,$J109))</f>
        <v>47.81</v>
      </c>
      <c r="M109" s="19" cm="1">
        <f t="array" ref="M109">IF($J109="","",INDEX('Motivos detalle'!$H:$H,$J109))</f>
        <v>48</v>
      </c>
      <c r="N109" s="16" t="str" cm="1">
        <f t="array" ref="N109">IF($J109="","Abierto",INDEX('Motivos detalle'!$D:$D,$J109))</f>
        <v>ruptura piso Donchian</v>
      </c>
      <c r="O109" s="16" cm="1">
        <f t="array" ref="O109">IF($J109="","",INDEX('Motivos detalle'!$E:$E,$J109))</f>
        <v>3</v>
      </c>
      <c r="P109">
        <f t="shared" si="12"/>
        <v>116</v>
      </c>
      <c r="Q109" s="14">
        <f t="shared" si="13"/>
        <v>0.10928074245939667</v>
      </c>
      <c r="R109" t="str">
        <f t="shared" si="14"/>
        <v>Ganador</v>
      </c>
      <c r="S109" t="str">
        <f>VLOOKUP(F109,Parametros!$A$25:$B$29,2,TRUE)</f>
        <v>Más de 30%</v>
      </c>
      <c r="T109" s="14">
        <f t="shared" si="15"/>
        <v>-3.958333333333286E-3</v>
      </c>
      <c r="U109" cm="1">
        <f t="array" ref="U109">IF(J109="","",IFERROR(_xlfn.AGGREGATE(15,6,ROW('Motivos detalle'!$C$2:$C$274)/(('Motivos detalle'!$C$2:$C$274="ENTRA")*('Motivos detalle'!$B$2:$B$274=C109)*(ROW('Motivos detalle'!$C$2:$C$274)&gt;J109)),1),""))</f>
        <v>228</v>
      </c>
      <c r="V109" s="17" cm="1">
        <f t="array" ref="V109">IF(U109="","",INDEX('Motivos detalle'!$A:$A,U109))</f>
        <v>45673</v>
      </c>
      <c r="W109">
        <f t="shared" si="16"/>
        <v>30</v>
      </c>
      <c r="X109" s="19" cm="1">
        <f t="array" ref="X109">IF(U109="","",INDEX('Motivos detalle'!$G:$G,U109))</f>
        <v>48.7</v>
      </c>
      <c r="Y109" t="str">
        <f>IF(W109="","No",IF(W109&lt;Parametros!$B$4,"Sí","No"))</f>
        <v>No</v>
      </c>
      <c r="Z109" s="14" t="str">
        <f t="shared" si="17"/>
        <v/>
      </c>
      <c r="AA109" t="str">
        <f>IF(F109&gt;Parametros!$B$7,"Sí","No")</f>
        <v>Sí</v>
      </c>
      <c r="AB109" s="15">
        <f>VLOOKUP(YEAR(D109),Parametros!$A$11:$B$21,2,FALSE)</f>
        <v>0.05</v>
      </c>
      <c r="AC109" t="str">
        <f t="shared" si="18"/>
        <v>Sí</v>
      </c>
      <c r="AD109" t="str">
        <f>IF(N109="ruptura piso Donchian",IF(T109&gt;-Parametros!$B$6,"Sí","No"),"")</f>
        <v>No</v>
      </c>
      <c r="AE109" s="15">
        <f>IF(J109="","",(L109*(1-Parametros!$B$32))/(G109*(1+Parametros!$B$32))-1)</f>
        <v>0.10485247602243319</v>
      </c>
      <c r="AF109" s="15">
        <f t="shared" si="19"/>
        <v>4.4282664369634794E-3</v>
      </c>
    </row>
    <row r="110" spans="1:32" x14ac:dyDescent="0.3">
      <c r="A110">
        <f t="shared" si="10"/>
        <v>107</v>
      </c>
      <c r="B110" cm="1">
        <f t="array" ref="B110">IFERROR(_xlfn.AGGREGATE(15,6,ROW('Motivos detalle'!$C$2:$C$274)/('Motivos detalle'!$C$2:$C$274="ENTRA"),A110),"")</f>
        <v>213</v>
      </c>
      <c r="C110" s="16" t="str" cm="1">
        <f t="array" ref="C110">INDEX('Motivos detalle'!$B:$B,$B110)</f>
        <v>XLRE</v>
      </c>
      <c r="D110" s="17" cm="1">
        <f t="array" ref="D110">INDEX('Motivos detalle'!$A:$A,$B110)</f>
        <v>45545</v>
      </c>
      <c r="E110" s="16" cm="1">
        <f t="array" ref="E110">INDEX('Motivos detalle'!$E:$E,$B110)</f>
        <v>2</v>
      </c>
      <c r="F110" s="18" cm="1">
        <f t="array" ref="F110">INDEX('Motivos detalle'!$F:$F,$B110)</f>
        <v>0.2712</v>
      </c>
      <c r="G110" s="19" cm="1">
        <f t="array" ref="G110">INDEX('Motivos detalle'!$G:$G,$B110)</f>
        <v>42.02</v>
      </c>
      <c r="H110" s="19" cm="1">
        <f t="array" ref="H110">INDEX('Motivos detalle'!$H:$H,$B110)</f>
        <v>41.39</v>
      </c>
      <c r="I110" s="18">
        <f t="shared" si="11"/>
        <v>1.5221067890794915E-2</v>
      </c>
      <c r="J110" s="16" cm="1">
        <f t="array" ref="J110">IFERROR(_xlfn.AGGREGATE(15,6,ROW('Motivos detalle'!$C$2:$C$274)/(('Motivos detalle'!$C$2:$C$274="SALE")*('Motivos detalle'!$B$2:$B$274=C110)*(ROW('Motivos detalle'!$C$2:$C$274)&gt;B110)),1),"")</f>
        <v>215</v>
      </c>
      <c r="K110" s="17" cm="1">
        <f t="array" ref="K110">IF($J110="","",INDEX('Motivos detalle'!$A:$A,$J110))</f>
        <v>45555</v>
      </c>
      <c r="L110" s="19" cm="1">
        <f t="array" ref="L110">IF($J110="","",INDEX('Motivos detalle'!$G:$G,$J110))</f>
        <v>41.79</v>
      </c>
      <c r="M110" s="19" cm="1">
        <f t="array" ref="M110">IF($J110="","",INDEX('Motivos detalle'!$H:$H,$J110))</f>
        <v>39.49</v>
      </c>
      <c r="N110" s="16" t="str" cm="1">
        <f t="array" ref="N110">IF($J110="","Abierto",INDEX('Motivos detalle'!$D:$D,$J110))</f>
        <v>cae del ranking (&gt;#5)</v>
      </c>
      <c r="O110" s="16" cm="1">
        <f t="array" ref="O110">IF($J110="","",INDEX('Motivos detalle'!$E:$E,$J110))</f>
        <v>6</v>
      </c>
      <c r="P110">
        <f t="shared" si="12"/>
        <v>10</v>
      </c>
      <c r="Q110" s="14">
        <f t="shared" si="13"/>
        <v>-5.4735840076155506E-3</v>
      </c>
      <c r="R110" t="str">
        <f t="shared" si="14"/>
        <v>Perdedor</v>
      </c>
      <c r="S110" t="str">
        <f>VLOOKUP(F110,Parametros!$A$25:$B$29,2,TRUE)</f>
        <v>15% a 30%</v>
      </c>
      <c r="T110" s="14" t="str">
        <f t="shared" si="15"/>
        <v/>
      </c>
      <c r="U110" t="str" cm="1">
        <f t="array" ref="U110">IF(J110="","",IFERROR(_xlfn.AGGREGATE(15,6,ROW('Motivos detalle'!$C$2:$C$274)/(('Motivos detalle'!$C$2:$C$274="ENTRA")*('Motivos detalle'!$B$2:$B$274=C110)*(ROW('Motivos detalle'!$C$2:$C$274)&gt;J110)),1),""))</f>
        <v/>
      </c>
      <c r="V110" s="17" t="str" cm="1">
        <f t="array" ref="V110">IF(U110="","",INDEX('Motivos detalle'!$A:$A,U110))</f>
        <v/>
      </c>
      <c r="W110" t="str">
        <f t="shared" si="16"/>
        <v/>
      </c>
      <c r="X110" s="19" t="str" cm="1">
        <f t="array" ref="X110">IF(U110="","",INDEX('Motivos detalle'!$G:$G,U110))</f>
        <v/>
      </c>
      <c r="Y110" t="str">
        <f>IF(W110="","No",IF(W110&lt;Parametros!$B$4,"Sí","No"))</f>
        <v>No</v>
      </c>
      <c r="Z110" s="14" t="str">
        <f t="shared" si="17"/>
        <v/>
      </c>
      <c r="AA110" t="str">
        <f>IF(F110&gt;Parametros!$B$7,"Sí","No")</f>
        <v>Sí</v>
      </c>
      <c r="AB110" s="15">
        <f>VLOOKUP(YEAR(D110),Parametros!$A$11:$B$21,2,FALSE)</f>
        <v>0.05</v>
      </c>
      <c r="AC110" t="str">
        <f t="shared" si="18"/>
        <v>Sí</v>
      </c>
      <c r="AD110" t="str">
        <f>IF(N110="ruptura piso Donchian",IF(T110&gt;-Parametros!$B$6,"Sí","No"),"")</f>
        <v/>
      </c>
      <c r="AE110" s="15">
        <f>IF(J110="","",(L110*(1-Parametros!$B$32))/(G110*(1+Parametros!$B$32))-1)</f>
        <v>-9.4437493409184059E-3</v>
      </c>
      <c r="AF110" s="15">
        <f t="shared" si="19"/>
        <v>3.9701653333028553E-3</v>
      </c>
    </row>
    <row r="111" spans="1:32" x14ac:dyDescent="0.3">
      <c r="A111">
        <f t="shared" si="10"/>
        <v>108</v>
      </c>
      <c r="B111" cm="1">
        <f t="array" ref="B111">IFERROR(_xlfn.AGGREGATE(15,6,ROW('Motivos detalle'!$C$2:$C$274)/('Motivos detalle'!$C$2:$C$274="ENTRA"),A111),"")</f>
        <v>214</v>
      </c>
      <c r="C111" s="16" t="str" cm="1">
        <f t="array" ref="C111">INDEX('Motivos detalle'!$B:$B,$B111)</f>
        <v>XLC</v>
      </c>
      <c r="D111" s="17" cm="1">
        <f t="array" ref="D111">INDEX('Motivos detalle'!$A:$A,$B111)</f>
        <v>45554</v>
      </c>
      <c r="E111" s="16" cm="1">
        <f t="array" ref="E111">INDEX('Motivos detalle'!$E:$E,$B111)</f>
        <v>3</v>
      </c>
      <c r="F111" s="18" cm="1">
        <f t="array" ref="F111">INDEX('Motivos detalle'!$F:$F,$B111)</f>
        <v>0.32850000000000001</v>
      </c>
      <c r="G111" s="19" cm="1">
        <f t="array" ref="G111">INDEX('Motivos detalle'!$G:$G,$B111)</f>
        <v>86.83</v>
      </c>
      <c r="H111" s="19" cm="1">
        <f t="array" ref="H111">INDEX('Motivos detalle'!$H:$H,$B111)</f>
        <v>86.57</v>
      </c>
      <c r="I111" s="18">
        <f t="shared" si="11"/>
        <v>3.0033498902621858E-3</v>
      </c>
      <c r="J111" s="16" cm="1">
        <f t="array" ref="J111">IFERROR(_xlfn.AGGREGATE(15,6,ROW('Motivos detalle'!$C$2:$C$274)/(('Motivos detalle'!$C$2:$C$274="SALE")*('Motivos detalle'!$B$2:$B$274=C111)*(ROW('Motivos detalle'!$C$2:$C$274)&gt;B111)),1),"")</f>
        <v>219</v>
      </c>
      <c r="K111" s="17" cm="1">
        <f t="array" ref="K111">IF($J111="","",INDEX('Motivos detalle'!$A:$A,$J111))</f>
        <v>45586</v>
      </c>
      <c r="L111" s="19" cm="1">
        <f t="array" ref="L111">IF($J111="","",INDEX('Motivos detalle'!$G:$G,$J111))</f>
        <v>89.03</v>
      </c>
      <c r="M111" s="19" cm="1">
        <f t="array" ref="M111">IF($J111="","",INDEX('Motivos detalle'!$H:$H,$J111))</f>
        <v>86.54</v>
      </c>
      <c r="N111" s="16" t="str" cm="1">
        <f t="array" ref="N111">IF($J111="","Abierto",INDEX('Motivos detalle'!$D:$D,$J111))</f>
        <v>cae del ranking (&gt;#5)</v>
      </c>
      <c r="O111" s="16" cm="1">
        <f t="array" ref="O111">IF($J111="","",INDEX('Motivos detalle'!$E:$E,$J111))</f>
        <v>6</v>
      </c>
      <c r="P111">
        <f t="shared" si="12"/>
        <v>32</v>
      </c>
      <c r="Q111" s="14">
        <f t="shared" si="13"/>
        <v>2.5336865138776865E-2</v>
      </c>
      <c r="R111" t="str">
        <f t="shared" si="14"/>
        <v>Ganador</v>
      </c>
      <c r="S111" t="str">
        <f>VLOOKUP(F111,Parametros!$A$25:$B$29,2,TRUE)</f>
        <v>Más de 30%</v>
      </c>
      <c r="T111" s="14" t="str">
        <f t="shared" si="15"/>
        <v/>
      </c>
      <c r="U111" cm="1">
        <f t="array" ref="U111">IF(J111="","",IFERROR(_xlfn.AGGREGATE(15,6,ROW('Motivos detalle'!$C$2:$C$274)/(('Motivos detalle'!$C$2:$C$274="ENTRA")*('Motivos detalle'!$B$2:$B$274=C111)*(ROW('Motivos detalle'!$C$2:$C$274)&gt;J111)),1),""))</f>
        <v>220</v>
      </c>
      <c r="V111" s="17" cm="1">
        <f t="array" ref="V111">IF(U111="","",INDEX('Motivos detalle'!$A:$A,U111))</f>
        <v>45594</v>
      </c>
      <c r="W111">
        <f t="shared" si="16"/>
        <v>8</v>
      </c>
      <c r="X111" s="19" cm="1">
        <f t="array" ref="X111">IF(U111="","",INDEX('Motivos detalle'!$G:$G,U111))</f>
        <v>90.42</v>
      </c>
      <c r="Y111" t="str">
        <f>IF(W111="","No",IF(W111&lt;Parametros!$B$4,"Sí","No"))</f>
        <v>Sí</v>
      </c>
      <c r="Z111" s="14">
        <f t="shared" si="17"/>
        <v>1.5612714815230744E-2</v>
      </c>
      <c r="AA111" t="str">
        <f>IF(F111&gt;Parametros!$B$7,"Sí","No")</f>
        <v>Sí</v>
      </c>
      <c r="AB111" s="15">
        <f>VLOOKUP(YEAR(D111),Parametros!$A$11:$B$21,2,FALSE)</f>
        <v>0.05</v>
      </c>
      <c r="AC111" t="str">
        <f t="shared" si="18"/>
        <v>Sí</v>
      </c>
      <c r="AD111" t="str">
        <f>IF(N111="ruptura piso Donchian",IF(T111&gt;-Parametros!$B$6,"Sí","No"),"")</f>
        <v/>
      </c>
      <c r="AE111" s="15">
        <f>IF(J111="","",(L111*(1-Parametros!$B$32))/(G111*(1+Parametros!$B$32))-1)</f>
        <v>2.1243704000498465E-2</v>
      </c>
      <c r="AF111" s="15">
        <f t="shared" si="19"/>
        <v>4.0931611382784006E-3</v>
      </c>
    </row>
    <row r="112" spans="1:32" x14ac:dyDescent="0.3">
      <c r="A112">
        <f t="shared" si="10"/>
        <v>109</v>
      </c>
      <c r="B112" cm="1">
        <f t="array" ref="B112">IFERROR(_xlfn.AGGREGATE(15,6,ROW('Motivos detalle'!$C$2:$C$274)/('Motivos detalle'!$C$2:$C$274="ENTRA"),A112),"")</f>
        <v>216</v>
      </c>
      <c r="C112" s="16" t="str" cm="1">
        <f t="array" ref="C112">INDEX('Motivos detalle'!$B:$B,$B112)</f>
        <v>XLK</v>
      </c>
      <c r="D112" s="17" cm="1">
        <f t="array" ref="D112">INDEX('Motivos detalle'!$A:$A,$B112)</f>
        <v>45561</v>
      </c>
      <c r="E112" s="16" cm="1">
        <f t="array" ref="E112">INDEX('Motivos detalle'!$E:$E,$B112)</f>
        <v>1</v>
      </c>
      <c r="F112" s="18" cm="1">
        <f t="array" ref="F112">INDEX('Motivos detalle'!$F:$F,$B112)</f>
        <v>0.4133</v>
      </c>
      <c r="G112" s="19" cm="1">
        <f t="array" ref="G112">INDEX('Motivos detalle'!$G:$G,$B112)</f>
        <v>112.45</v>
      </c>
      <c r="H112" s="19" cm="1">
        <f t="array" ref="H112">INDEX('Motivos detalle'!$H:$H,$B112)</f>
        <v>111.46</v>
      </c>
      <c r="I112" s="18">
        <f t="shared" si="11"/>
        <v>8.8821101740534925E-3</v>
      </c>
      <c r="J112" s="16" cm="1">
        <f t="array" ref="J112">IFERROR(_xlfn.AGGREGATE(15,6,ROW('Motivos detalle'!$C$2:$C$274)/(('Motivos detalle'!$C$2:$C$274="SALE")*('Motivos detalle'!$B$2:$B$274=C112)*(ROW('Motivos detalle'!$C$2:$C$274)&gt;B112)),1),"")</f>
        <v>217</v>
      </c>
      <c r="K112" s="17" cm="1">
        <f t="array" ref="K112">IF($J112="","",INDEX('Motivos detalle'!$A:$A,$J112))</f>
        <v>45567</v>
      </c>
      <c r="L112" s="19" cm="1">
        <f t="array" ref="L112">IF($J112="","",INDEX('Motivos detalle'!$G:$G,$J112))</f>
        <v>109.81</v>
      </c>
      <c r="M112" s="19" cm="1">
        <f t="array" ref="M112">IF($J112="","",INDEX('Motivos detalle'!$H:$H,$J112))</f>
        <v>100.27</v>
      </c>
      <c r="N112" s="16" t="str" cm="1">
        <f t="array" ref="N112">IF($J112="","Abierto",INDEX('Motivos detalle'!$D:$D,$J112))</f>
        <v>cae del ranking (&gt;#5)</v>
      </c>
      <c r="O112" s="16" cm="1">
        <f t="array" ref="O112">IF($J112="","",INDEX('Motivos detalle'!$E:$E,$J112))</f>
        <v>6</v>
      </c>
      <c r="P112">
        <f t="shared" si="12"/>
        <v>6</v>
      </c>
      <c r="Q112" s="14">
        <f t="shared" si="13"/>
        <v>-2.3477100933748329E-2</v>
      </c>
      <c r="R112" t="str">
        <f t="shared" si="14"/>
        <v>Perdedor</v>
      </c>
      <c r="S112" t="str">
        <f>VLOOKUP(F112,Parametros!$A$25:$B$29,2,TRUE)</f>
        <v>Más de 30%</v>
      </c>
      <c r="T112" s="14" t="str">
        <f t="shared" si="15"/>
        <v/>
      </c>
      <c r="U112" cm="1">
        <f t="array" ref="U112">IF(J112="","",IFERROR(_xlfn.AGGREGATE(15,6,ROW('Motivos detalle'!$C$2:$C$274)/(('Motivos detalle'!$C$2:$C$274="ENTRA")*('Motivos detalle'!$B$2:$B$274=C112)*(ROW('Motivos detalle'!$C$2:$C$274)&gt;J112)),1),""))</f>
        <v>218</v>
      </c>
      <c r="V112" s="17" cm="1">
        <f t="array" ref="V112">IF(U112="","",INDEX('Motivos detalle'!$A:$A,U112))</f>
        <v>45574</v>
      </c>
      <c r="W112">
        <f t="shared" si="16"/>
        <v>7</v>
      </c>
      <c r="X112" s="19" cm="1">
        <f t="array" ref="X112">IF(U112="","",INDEX('Motivos detalle'!$G:$G,U112))</f>
        <v>114.06</v>
      </c>
      <c r="Y112" t="str">
        <f>IF(W112="","No",IF(W112&lt;Parametros!$B$4,"Sí","No"))</f>
        <v>Sí</v>
      </c>
      <c r="Z112" s="14">
        <f t="shared" si="17"/>
        <v>3.8703214643475148E-2</v>
      </c>
      <c r="AA112" t="str">
        <f>IF(F112&gt;Parametros!$B$7,"Sí","No")</f>
        <v>Sí</v>
      </c>
      <c r="AB112" s="15">
        <f>VLOOKUP(YEAR(D112),Parametros!$A$11:$B$21,2,FALSE)</f>
        <v>0.05</v>
      </c>
      <c r="AC112" t="str">
        <f t="shared" si="18"/>
        <v>Sí</v>
      </c>
      <c r="AD112" t="str">
        <f>IF(N112="ruptura piso Donchian",IF(T112&gt;-Parametros!$B$6,"Sí","No"),"")</f>
        <v/>
      </c>
      <c r="AE112" s="15">
        <f>IF(J112="","",(L112*(1-Parametros!$B$32))/(G112*(1+Parametros!$B$32))-1)</f>
        <v>-2.7375395940000935E-2</v>
      </c>
      <c r="AF112" s="15">
        <f t="shared" si="19"/>
        <v>3.8982950062526056E-3</v>
      </c>
    </row>
    <row r="113" spans="1:32" x14ac:dyDescent="0.3">
      <c r="A113">
        <f t="shared" si="10"/>
        <v>110</v>
      </c>
      <c r="B113" cm="1">
        <f t="array" ref="B113">IFERROR(_xlfn.AGGREGATE(15,6,ROW('Motivos detalle'!$C$2:$C$274)/('Motivos detalle'!$C$2:$C$274="ENTRA"),A113),"")</f>
        <v>218</v>
      </c>
      <c r="C113" s="16" t="str" cm="1">
        <f t="array" ref="C113">INDEX('Motivos detalle'!$B:$B,$B113)</f>
        <v>XLK</v>
      </c>
      <c r="D113" s="17" cm="1">
        <f t="array" ref="D113">INDEX('Motivos detalle'!$A:$A,$B113)</f>
        <v>45574</v>
      </c>
      <c r="E113" s="16" cm="1">
        <f t="array" ref="E113">INDEX('Motivos detalle'!$E:$E,$B113)</f>
        <v>3</v>
      </c>
      <c r="F113" s="18" cm="1">
        <f t="array" ref="F113">INDEX('Motivos detalle'!$F:$F,$B113)</f>
        <v>0.37309999999999999</v>
      </c>
      <c r="G113" s="19" cm="1">
        <f t="array" ref="G113">INDEX('Motivos detalle'!$G:$G,$B113)</f>
        <v>114.06</v>
      </c>
      <c r="H113" s="19" cm="1">
        <f t="array" ref="H113">INDEX('Motivos detalle'!$H:$H,$B113)</f>
        <v>113.27</v>
      </c>
      <c r="I113" s="18">
        <f t="shared" si="11"/>
        <v>6.9744857420324102E-3</v>
      </c>
      <c r="J113" s="16" cm="1">
        <f t="array" ref="J113">IFERROR(_xlfn.AGGREGATE(15,6,ROW('Motivos detalle'!$C$2:$C$274)/(('Motivos detalle'!$C$2:$C$274="SALE")*('Motivos detalle'!$B$2:$B$274=C113)*(ROW('Motivos detalle'!$C$2:$C$274)&gt;B113)),1),"")</f>
        <v>221</v>
      </c>
      <c r="K113" s="17" cm="1">
        <f t="array" ref="K113">IF($J113="","",INDEX('Motivos detalle'!$A:$A,$J113))</f>
        <v>45607</v>
      </c>
      <c r="L113" s="19" cm="1">
        <f t="array" ref="L113">IF($J113="","",INDEX('Motivos detalle'!$G:$G,$J113))</f>
        <v>116.72</v>
      </c>
      <c r="M113" s="19" cm="1">
        <f t="array" ref="M113">IF($J113="","",INDEX('Motivos detalle'!$H:$H,$J113))</f>
        <v>109.94</v>
      </c>
      <c r="N113" s="16" t="str" cm="1">
        <f t="array" ref="N113">IF($J113="","Abierto",INDEX('Motivos detalle'!$D:$D,$J113))</f>
        <v>cae del ranking (&gt;#5)</v>
      </c>
      <c r="O113" s="16" cm="1">
        <f t="array" ref="O113">IF($J113="","",INDEX('Motivos detalle'!$E:$E,$J113))</f>
        <v>6</v>
      </c>
      <c r="P113">
        <f t="shared" si="12"/>
        <v>33</v>
      </c>
      <c r="Q113" s="14">
        <f t="shared" si="13"/>
        <v>2.332105909170612E-2</v>
      </c>
      <c r="R113" t="str">
        <f t="shared" si="14"/>
        <v>Ganador</v>
      </c>
      <c r="S113" t="str">
        <f>VLOOKUP(F113,Parametros!$A$25:$B$29,2,TRUE)</f>
        <v>Más de 30%</v>
      </c>
      <c r="T113" s="14" t="str">
        <f t="shared" si="15"/>
        <v/>
      </c>
      <c r="U113" cm="1">
        <f t="array" ref="U113">IF(J113="","",IFERROR(_xlfn.AGGREGATE(15,6,ROW('Motivos detalle'!$C$2:$C$274)/(('Motivos detalle'!$C$2:$C$274="ENTRA")*('Motivos detalle'!$B$2:$B$274=C113)*(ROW('Motivos detalle'!$C$2:$C$274)&gt;J113)),1),""))</f>
        <v>245</v>
      </c>
      <c r="V113" s="17" cm="1">
        <f t="array" ref="V113">IF(U113="","",INDEX('Motivos detalle'!$A:$A,U113))</f>
        <v>45954</v>
      </c>
      <c r="W113">
        <f t="shared" si="16"/>
        <v>347</v>
      </c>
      <c r="X113" s="19" cm="1">
        <f t="array" ref="X113">IF(U113="","",INDEX('Motivos detalle'!$G:$G,U113))</f>
        <v>146.21</v>
      </c>
      <c r="Y113" t="str">
        <f>IF(W113="","No",IF(W113&lt;Parametros!$B$4,"Sí","No"))</f>
        <v>No</v>
      </c>
      <c r="Z113" s="14" t="str">
        <f t="shared" si="17"/>
        <v/>
      </c>
      <c r="AA113" t="str">
        <f>IF(F113&gt;Parametros!$B$7,"Sí","No")</f>
        <v>Sí</v>
      </c>
      <c r="AB113" s="15">
        <f>VLOOKUP(YEAR(D113),Parametros!$A$11:$B$21,2,FALSE)</f>
        <v>0.05</v>
      </c>
      <c r="AC113" t="str">
        <f t="shared" si="18"/>
        <v>Sí</v>
      </c>
      <c r="AD113" t="str">
        <f>IF(N113="ruptura piso Donchian",IF(T113&gt;-Parametros!$B$6,"Sí","No"),"")</f>
        <v/>
      </c>
      <c r="AE113" s="15">
        <f>IF(J113="","",(L113*(1-Parametros!$B$32))/(G113*(1+Parametros!$B$32))-1)</f>
        <v>1.923594508335591E-2</v>
      </c>
      <c r="AF113" s="15">
        <f t="shared" si="19"/>
        <v>4.0851140083502102E-3</v>
      </c>
    </row>
    <row r="114" spans="1:32" x14ac:dyDescent="0.3">
      <c r="A114">
        <f t="shared" si="10"/>
        <v>111</v>
      </c>
      <c r="B114" cm="1">
        <f t="array" ref="B114">IFERROR(_xlfn.AGGREGATE(15,6,ROW('Motivos detalle'!$C$2:$C$274)/('Motivos detalle'!$C$2:$C$274="ENTRA"),A114),"")</f>
        <v>220</v>
      </c>
      <c r="C114" s="16" t="str" cm="1">
        <f t="array" ref="C114">INDEX('Motivos detalle'!$B:$B,$B114)</f>
        <v>XLC</v>
      </c>
      <c r="D114" s="17" cm="1">
        <f t="array" ref="D114">INDEX('Motivos detalle'!$A:$A,$B114)</f>
        <v>45594</v>
      </c>
      <c r="E114" s="16" cm="1">
        <f t="array" ref="E114">INDEX('Motivos detalle'!$E:$E,$B114)</f>
        <v>2</v>
      </c>
      <c r="F114" s="18" cm="1">
        <f t="array" ref="F114">INDEX('Motivos detalle'!$F:$F,$B114)</f>
        <v>0.4788</v>
      </c>
      <c r="G114" s="19" cm="1">
        <f t="array" ref="G114">INDEX('Motivos detalle'!$G:$G,$B114)</f>
        <v>90.42</v>
      </c>
      <c r="H114" s="19" cm="1">
        <f t="array" ref="H114">INDEX('Motivos detalle'!$H:$H,$B114)</f>
        <v>89.94</v>
      </c>
      <c r="I114" s="18">
        <f t="shared" si="11"/>
        <v>5.3368912608406927E-3</v>
      </c>
      <c r="J114" s="16" cm="1">
        <f t="array" ref="J114">IFERROR(_xlfn.AGGREGATE(15,6,ROW('Motivos detalle'!$C$2:$C$274)/(('Motivos detalle'!$C$2:$C$274="SALE")*('Motivos detalle'!$B$2:$B$274=C114)*(ROW('Motivos detalle'!$C$2:$C$274)&gt;B114)),1),"")</f>
        <v>227</v>
      </c>
      <c r="K114" s="17" cm="1">
        <f t="array" ref="K114">IF($J114="","",INDEX('Motivos detalle'!$A:$A,$J114))</f>
        <v>45667</v>
      </c>
      <c r="L114" s="19" cm="1">
        <f t="array" ref="L114">IF($J114="","",INDEX('Motivos detalle'!$G:$G,$J114))</f>
        <v>94.11</v>
      </c>
      <c r="M114" s="19" cm="1">
        <f t="array" ref="M114">IF($J114="","",INDEX('Motivos detalle'!$H:$H,$J114))</f>
        <v>94.62</v>
      </c>
      <c r="N114" s="16" t="str" cm="1">
        <f t="array" ref="N114">IF($J114="","Abierto",INDEX('Motivos detalle'!$D:$D,$J114))</f>
        <v>ruptura piso Donchian</v>
      </c>
      <c r="O114" s="16" cm="1">
        <f t="array" ref="O114">IF($J114="","",INDEX('Motivos detalle'!$E:$E,$J114))</f>
        <v>1</v>
      </c>
      <c r="P114">
        <f t="shared" si="12"/>
        <v>73</v>
      </c>
      <c r="Q114" s="14">
        <f t="shared" si="13"/>
        <v>4.080955540809561E-2</v>
      </c>
      <c r="R114" t="str">
        <f t="shared" si="14"/>
        <v>Ganador</v>
      </c>
      <c r="S114" t="str">
        <f>VLOOKUP(F114,Parametros!$A$25:$B$29,2,TRUE)</f>
        <v>Más de 30%</v>
      </c>
      <c r="T114" s="14">
        <f t="shared" si="15"/>
        <v>-5.389980976537756E-3</v>
      </c>
      <c r="U114" cm="1">
        <f t="array" ref="U114">IF(J114="","",IFERROR(_xlfn.AGGREGATE(15,6,ROW('Motivos detalle'!$C$2:$C$274)/(('Motivos detalle'!$C$2:$C$274="ENTRA")*('Motivos detalle'!$B$2:$B$274=C114)*(ROW('Motivos detalle'!$C$2:$C$274)&gt;J114)),1),""))</f>
        <v>230</v>
      </c>
      <c r="V114" s="17" cm="1">
        <f t="array" ref="V114">IF(U114="","",INDEX('Motivos detalle'!$A:$A,U114))</f>
        <v>45681</v>
      </c>
      <c r="W114">
        <f t="shared" si="16"/>
        <v>14</v>
      </c>
      <c r="X114" s="19" cm="1">
        <f t="array" ref="X114">IF(U114="","",INDEX('Motivos detalle'!$G:$G,U114))</f>
        <v>98.63</v>
      </c>
      <c r="Y114" t="str">
        <f>IF(W114="","No",IF(W114&lt;Parametros!$B$4,"Sí","No"))</f>
        <v>No</v>
      </c>
      <c r="Z114" s="14" t="str">
        <f t="shared" si="17"/>
        <v/>
      </c>
      <c r="AA114" t="str">
        <f>IF(F114&gt;Parametros!$B$7,"Sí","No")</f>
        <v>Sí</v>
      </c>
      <c r="AB114" s="15">
        <f>VLOOKUP(YEAR(D114),Parametros!$A$11:$B$21,2,FALSE)</f>
        <v>0.05</v>
      </c>
      <c r="AC114" t="str">
        <f t="shared" si="18"/>
        <v>Sí</v>
      </c>
      <c r="AD114" t="str">
        <f>IF(N114="ruptura piso Donchian",IF(T114&gt;-Parametros!$B$6,"Sí","No"),"")</f>
        <v>No</v>
      </c>
      <c r="AE114" s="15">
        <f>IF(J114="","",(L114*(1-Parametros!$B$32))/(G114*(1+Parametros!$B$32))-1)</f>
        <v>3.6654627043192889E-2</v>
      </c>
      <c r="AF114" s="15">
        <f t="shared" si="19"/>
        <v>4.1549283649027213E-3</v>
      </c>
    </row>
    <row r="115" spans="1:32" x14ac:dyDescent="0.3">
      <c r="A115">
        <f t="shared" si="10"/>
        <v>112</v>
      </c>
      <c r="B115" cm="1">
        <f t="array" ref="B115">IFERROR(_xlfn.AGGREGATE(15,6,ROW('Motivos detalle'!$C$2:$C$274)/('Motivos detalle'!$C$2:$C$274="ENTRA"),A115),"")</f>
        <v>222</v>
      </c>
      <c r="C115" s="16" t="str" cm="1">
        <f t="array" ref="C115">INDEX('Motivos detalle'!$B:$B,$B115)</f>
        <v>XLI</v>
      </c>
      <c r="D115" s="17" cm="1">
        <f t="array" ref="D115">INDEX('Motivos detalle'!$A:$A,$B115)</f>
        <v>45607</v>
      </c>
      <c r="E115" s="16" cm="1">
        <f t="array" ref="E115">INDEX('Motivos detalle'!$E:$E,$B115)</f>
        <v>3</v>
      </c>
      <c r="F115" s="18" cm="1">
        <f t="array" ref="F115">INDEX('Motivos detalle'!$F:$F,$B115)</f>
        <v>0.43819999999999998</v>
      </c>
      <c r="G115" s="19" cm="1">
        <f t="array" ref="G115">INDEX('Motivos detalle'!$G:$G,$B115)</f>
        <v>139.80000000000001</v>
      </c>
      <c r="H115" s="19" cm="1">
        <f t="array" ref="H115">INDEX('Motivos detalle'!$H:$H,$B115)</f>
        <v>139.16</v>
      </c>
      <c r="I115" s="18">
        <f t="shared" si="11"/>
        <v>4.5990227076746493E-3</v>
      </c>
      <c r="J115" s="16" cm="1">
        <f t="array" ref="J115">IFERROR(_xlfn.AGGREGATE(15,6,ROW('Motivos detalle'!$C$2:$C$274)/(('Motivos detalle'!$C$2:$C$274="SALE")*('Motivos detalle'!$B$2:$B$274=C115)*(ROW('Motivos detalle'!$C$2:$C$274)&gt;B115)),1),"")</f>
        <v>223</v>
      </c>
      <c r="K115" s="17" cm="1">
        <f t="array" ref="K115">IF($J115="","",INDEX('Motivos detalle'!$A:$A,$J115))</f>
        <v>45638</v>
      </c>
      <c r="L115" s="19" cm="1">
        <f t="array" ref="L115">IF($J115="","",INDEX('Motivos detalle'!$G:$G,$J115))</f>
        <v>134.53</v>
      </c>
      <c r="M115" s="19" cm="1">
        <f t="array" ref="M115">IF($J115="","",INDEX('Motivos detalle'!$H:$H,$J115))</f>
        <v>134.56</v>
      </c>
      <c r="N115" s="16" t="str" cm="1">
        <f t="array" ref="N115">IF($J115="","Abierto",INDEX('Motivos detalle'!$D:$D,$J115))</f>
        <v>ruptura piso Donchian</v>
      </c>
      <c r="O115" s="16" cm="1">
        <f t="array" ref="O115">IF($J115="","",INDEX('Motivos detalle'!$E:$E,$J115))</f>
        <v>4</v>
      </c>
      <c r="P115">
        <f t="shared" si="12"/>
        <v>31</v>
      </c>
      <c r="Q115" s="14">
        <f t="shared" si="13"/>
        <v>-3.7696709585121724E-2</v>
      </c>
      <c r="R115" t="str">
        <f t="shared" si="14"/>
        <v>Perdedor</v>
      </c>
      <c r="S115" t="str">
        <f>VLOOKUP(F115,Parametros!$A$25:$B$29,2,TRUE)</f>
        <v>Más de 30%</v>
      </c>
      <c r="T115" s="14">
        <f t="shared" si="15"/>
        <v>-2.2294887039242539E-4</v>
      </c>
      <c r="U115" cm="1">
        <f t="array" ref="U115">IF(J115="","",IFERROR(_xlfn.AGGREGATE(15,6,ROW('Motivos detalle'!$C$2:$C$274)/(('Motivos detalle'!$C$2:$C$274="ENTRA")*('Motivos detalle'!$B$2:$B$274=C115)*(ROW('Motivos detalle'!$C$2:$C$274)&gt;J115)),1),""))</f>
        <v>251</v>
      </c>
      <c r="V115" s="17" cm="1">
        <f t="array" ref="V115">IF(U115="","",INDEX('Motivos detalle'!$A:$A,U115))</f>
        <v>46001</v>
      </c>
      <c r="W115">
        <f t="shared" si="16"/>
        <v>363</v>
      </c>
      <c r="X115" s="19" cm="1">
        <f t="array" ref="X115">IF(U115="","",INDEX('Motivos detalle'!$G:$G,U115))</f>
        <v>154.71</v>
      </c>
      <c r="Y115" t="str">
        <f>IF(W115="","No",IF(W115&lt;Parametros!$B$4,"Sí","No"))</f>
        <v>No</v>
      </c>
      <c r="Z115" s="14" t="str">
        <f t="shared" si="17"/>
        <v/>
      </c>
      <c r="AA115" t="str">
        <f>IF(F115&gt;Parametros!$B$7,"Sí","No")</f>
        <v>Sí</v>
      </c>
      <c r="AB115" s="15">
        <f>VLOOKUP(YEAR(D115),Parametros!$A$11:$B$21,2,FALSE)</f>
        <v>0.05</v>
      </c>
      <c r="AC115" t="str">
        <f t="shared" si="18"/>
        <v>Sí</v>
      </c>
      <c r="AD115" t="str">
        <f>IF(N115="ruptura piso Donchian",IF(T115&gt;-Parametros!$B$6,"Sí","No"),"")</f>
        <v>Sí</v>
      </c>
      <c r="AE115" s="15">
        <f>IF(J115="","",(L115*(1-Parametros!$B$32))/(G115*(1+Parametros!$B$32))-1)</f>
        <v>-4.1538239686578216E-2</v>
      </c>
      <c r="AF115" s="15">
        <f t="shared" si="19"/>
        <v>3.8415301014564918E-3</v>
      </c>
    </row>
    <row r="116" spans="1:32" x14ac:dyDescent="0.3">
      <c r="A116">
        <f t="shared" si="10"/>
        <v>113</v>
      </c>
      <c r="B116" cm="1">
        <f t="array" ref="B116">IFERROR(_xlfn.AGGREGATE(15,6,ROW('Motivos detalle'!$C$2:$C$274)/('Motivos detalle'!$C$2:$C$274="ENTRA"),A116),"")</f>
        <v>224</v>
      </c>
      <c r="C116" s="16" t="str" cm="1">
        <f t="array" ref="C116">INDEX('Motivos detalle'!$B:$B,$B116)</f>
        <v>XLY</v>
      </c>
      <c r="D116" s="17" cm="1">
        <f t="array" ref="D116">INDEX('Motivos detalle'!$A:$A,$B116)</f>
        <v>45642</v>
      </c>
      <c r="E116" s="16" cm="1">
        <f t="array" ref="E116">INDEX('Motivos detalle'!$E:$E,$B116)</f>
        <v>2</v>
      </c>
      <c r="F116" s="18" cm="1">
        <f t="array" ref="F116">INDEX('Motivos detalle'!$F:$F,$B116)</f>
        <v>0.34560000000000002</v>
      </c>
      <c r="G116" s="19" cm="1">
        <f t="array" ref="G116">INDEX('Motivos detalle'!$G:$G,$B116)</f>
        <v>117.62</v>
      </c>
      <c r="H116" s="19" cm="1">
        <f t="array" ref="H116">INDEX('Motivos detalle'!$H:$H,$B116)</f>
        <v>116.63</v>
      </c>
      <c r="I116" s="18">
        <f t="shared" si="11"/>
        <v>8.4883820629342299E-3</v>
      </c>
      <c r="J116" s="16" cm="1">
        <f t="array" ref="J116">IFERROR(_xlfn.AGGREGATE(15,6,ROW('Motivos detalle'!$C$2:$C$274)/(('Motivos detalle'!$C$2:$C$274="SALE")*('Motivos detalle'!$B$2:$B$274=C116)*(ROW('Motivos detalle'!$C$2:$C$274)&gt;B116)),1),"")</f>
        <v>226</v>
      </c>
      <c r="K116" s="17" cm="1">
        <f t="array" ref="K116">IF($J116="","",INDEX('Motivos detalle'!$A:$A,$J116))</f>
        <v>45659</v>
      </c>
      <c r="L116" s="19" cm="1">
        <f t="array" ref="L116">IF($J116="","",INDEX('Motivos detalle'!$G:$G,$J116))</f>
        <v>109.31</v>
      </c>
      <c r="M116" s="19" cm="1">
        <f t="array" ref="M116">IF($J116="","",INDEX('Motivos detalle'!$H:$H,$J116))</f>
        <v>109.83</v>
      </c>
      <c r="N116" s="16" t="str" cm="1">
        <f t="array" ref="N116">IF($J116="","Abierto",INDEX('Motivos detalle'!$D:$D,$J116))</f>
        <v>ruptura piso Donchian</v>
      </c>
      <c r="O116" s="16" cm="1">
        <f t="array" ref="O116">IF($J116="","",INDEX('Motivos detalle'!$E:$E,$J116))</f>
        <v>3</v>
      </c>
      <c r="P116">
        <f t="shared" si="12"/>
        <v>17</v>
      </c>
      <c r="Q116" s="14">
        <f t="shared" si="13"/>
        <v>-7.0651249787451076E-2</v>
      </c>
      <c r="R116" t="str">
        <f t="shared" si="14"/>
        <v>Perdedor</v>
      </c>
      <c r="S116" t="str">
        <f>VLOOKUP(F116,Parametros!$A$25:$B$29,2,TRUE)</f>
        <v>Más de 30%</v>
      </c>
      <c r="T116" s="14">
        <f t="shared" si="15"/>
        <v>-4.734589820631796E-3</v>
      </c>
      <c r="U116" cm="1">
        <f t="array" ref="U116">IF(J116="","",IFERROR(_xlfn.AGGREGATE(15,6,ROW('Motivos detalle'!$C$2:$C$274)/(('Motivos detalle'!$C$2:$C$274="ENTRA")*('Motivos detalle'!$B$2:$B$274=C116)*(ROW('Motivos detalle'!$C$2:$C$274)&gt;J116)),1),""))</f>
        <v>240</v>
      </c>
      <c r="V116" s="17" cm="1">
        <f t="array" ref="V116">IF(U116="","",INDEX('Motivos detalle'!$A:$A,U116))</f>
        <v>45882</v>
      </c>
      <c r="W116">
        <f t="shared" si="16"/>
        <v>223</v>
      </c>
      <c r="X116" s="19" cm="1">
        <f t="array" ref="X116">IF(U116="","",INDEX('Motivos detalle'!$G:$G,U116))</f>
        <v>114.04</v>
      </c>
      <c r="Y116" t="str">
        <f>IF(W116="","No",IF(W116&lt;Parametros!$B$4,"Sí","No"))</f>
        <v>No</v>
      </c>
      <c r="Z116" s="14" t="str">
        <f t="shared" si="17"/>
        <v/>
      </c>
      <c r="AA116" t="str">
        <f>IF(F116&gt;Parametros!$B$7,"Sí","No")</f>
        <v>Sí</v>
      </c>
      <c r="AB116" s="15">
        <f>VLOOKUP(YEAR(D116),Parametros!$A$11:$B$21,2,FALSE)</f>
        <v>0.05</v>
      </c>
      <c r="AC116" t="str">
        <f t="shared" si="18"/>
        <v>Sí</v>
      </c>
      <c r="AD116" t="str">
        <f>IF(N116="ruptura piso Donchian",IF(T116&gt;-Parametros!$B$6,"Sí","No"),"")</f>
        <v>No</v>
      </c>
      <c r="AE116" s="15">
        <f>IF(J116="","",(L116*(1-Parametros!$B$32))/(G116*(1+Parametros!$B$32))-1)</f>
        <v>-7.4361224838199846E-2</v>
      </c>
      <c r="AF116" s="15">
        <f t="shared" si="19"/>
        <v>3.7099750507487705E-3</v>
      </c>
    </row>
    <row r="117" spans="1:32" x14ac:dyDescent="0.3">
      <c r="A117">
        <f t="shared" si="10"/>
        <v>114</v>
      </c>
      <c r="B117" cm="1">
        <f t="array" ref="B117">IFERROR(_xlfn.AGGREGATE(15,6,ROW('Motivos detalle'!$C$2:$C$274)/('Motivos detalle'!$C$2:$C$274="ENTRA"),A117),"")</f>
        <v>228</v>
      </c>
      <c r="C117" s="16" t="str" cm="1">
        <f t="array" ref="C117">INDEX('Motivos detalle'!$B:$B,$B117)</f>
        <v>XLF</v>
      </c>
      <c r="D117" s="17" cm="1">
        <f t="array" ref="D117">INDEX('Motivos detalle'!$A:$A,$B117)</f>
        <v>45673</v>
      </c>
      <c r="E117" s="16" cm="1">
        <f t="array" ref="E117">INDEX('Motivos detalle'!$E:$E,$B117)</f>
        <v>1</v>
      </c>
      <c r="F117" s="18" cm="1">
        <f t="array" ref="F117">INDEX('Motivos detalle'!$F:$F,$B117)</f>
        <v>0.35489999999999999</v>
      </c>
      <c r="G117" s="19" cm="1">
        <f t="array" ref="G117">INDEX('Motivos detalle'!$G:$G,$B117)</f>
        <v>48.7</v>
      </c>
      <c r="H117" s="19" cm="1">
        <f t="array" ref="H117">INDEX('Motivos detalle'!$H:$H,$B117)</f>
        <v>48.51</v>
      </c>
      <c r="I117" s="18">
        <f t="shared" si="11"/>
        <v>3.9167182024326674E-3</v>
      </c>
      <c r="J117" s="16" cm="1">
        <f t="array" ref="J117">IFERROR(_xlfn.AGGREGATE(15,6,ROW('Motivos detalle'!$C$2:$C$274)/(('Motivos detalle'!$C$2:$C$274="SALE")*('Motivos detalle'!$B$2:$B$274=C117)*(ROW('Motivos detalle'!$C$2:$C$274)&gt;B117)),1),"")</f>
        <v>232</v>
      </c>
      <c r="K117" s="17" cm="1">
        <f t="array" ref="K117">IF($J117="","",INDEX('Motivos detalle'!$A:$A,$J117))</f>
        <v>45720</v>
      </c>
      <c r="L117" s="19" cm="1">
        <f t="array" ref="L117">IF($J117="","",INDEX('Motivos detalle'!$G:$G,$J117))</f>
        <v>48.81</v>
      </c>
      <c r="M117" s="19" cm="1">
        <f t="array" ref="M117">IF($J117="","",INDEX('Motivos detalle'!$H:$H,$J117))</f>
        <v>49.19</v>
      </c>
      <c r="N117" s="16" t="str" cm="1">
        <f t="array" ref="N117">IF($J117="","Abierto",INDEX('Motivos detalle'!$D:$D,$J117))</f>
        <v>ruptura piso Donchian</v>
      </c>
      <c r="O117" s="16" cm="1">
        <f t="array" ref="O117">IF($J117="","",INDEX('Motivos detalle'!$E:$E,$J117))</f>
        <v>3</v>
      </c>
      <c r="P117">
        <f t="shared" si="12"/>
        <v>47</v>
      </c>
      <c r="Q117" s="14">
        <f t="shared" si="13"/>
        <v>2.2587268993838894E-3</v>
      </c>
      <c r="R117" t="str">
        <f t="shared" si="14"/>
        <v>Ganador</v>
      </c>
      <c r="S117" t="str">
        <f>VLOOKUP(F117,Parametros!$A$25:$B$29,2,TRUE)</f>
        <v>Más de 30%</v>
      </c>
      <c r="T117" s="14">
        <f t="shared" si="15"/>
        <v>-7.7251473876803756E-3</v>
      </c>
      <c r="U117" cm="1">
        <f t="array" ref="U117">IF(J117="","",IFERROR(_xlfn.AGGREGATE(15,6,ROW('Motivos detalle'!$C$2:$C$274)/(('Motivos detalle'!$C$2:$C$274="ENTRA")*('Motivos detalle'!$B$2:$B$274=C117)*(ROW('Motivos detalle'!$C$2:$C$274)&gt;J117)),1),""))</f>
        <v>235</v>
      </c>
      <c r="V117" s="17" cm="1">
        <f t="array" ref="V117">IF(U117="","",INDEX('Motivos detalle'!$A:$A,U117))</f>
        <v>45779</v>
      </c>
      <c r="W117">
        <f t="shared" si="16"/>
        <v>59</v>
      </c>
      <c r="X117" s="19" cm="1">
        <f t="array" ref="X117">IF(U117="","",INDEX('Motivos detalle'!$G:$G,U117))</f>
        <v>48.83</v>
      </c>
      <c r="Y117" t="str">
        <f>IF(W117="","No",IF(W117&lt;Parametros!$B$4,"Sí","No"))</f>
        <v>No</v>
      </c>
      <c r="Z117" s="14" t="str">
        <f t="shared" si="17"/>
        <v/>
      </c>
      <c r="AA117" t="str">
        <f>IF(F117&gt;Parametros!$B$7,"Sí","No")</f>
        <v>Sí</v>
      </c>
      <c r="AB117" s="15">
        <f>VLOOKUP(YEAR(D117),Parametros!$A$11:$B$21,2,FALSE)</f>
        <v>4.2000000000000003E-2</v>
      </c>
      <c r="AC117" t="str">
        <f t="shared" si="18"/>
        <v>Sí</v>
      </c>
      <c r="AD117" t="str">
        <f>IF(N117="ruptura piso Donchian",IF(T117&gt;-Parametros!$B$6,"Sí","No"),"")</f>
        <v>No</v>
      </c>
      <c r="AE117" s="15">
        <f>IF(J117="","",(L117*(1-Parametros!$B$32))/(G117*(1+Parametros!$B$32))-1)</f>
        <v>-1.742305942529776E-3</v>
      </c>
      <c r="AF117" s="15">
        <f t="shared" si="19"/>
        <v>4.0010328419136654E-3</v>
      </c>
    </row>
    <row r="118" spans="1:32" x14ac:dyDescent="0.3">
      <c r="A118">
        <f t="shared" si="10"/>
        <v>115</v>
      </c>
      <c r="B118" cm="1">
        <f t="array" ref="B118">IFERROR(_xlfn.AGGREGATE(15,6,ROW('Motivos detalle'!$C$2:$C$274)/('Motivos detalle'!$C$2:$C$274="ENTRA"),A118),"")</f>
        <v>229</v>
      </c>
      <c r="C118" s="16" t="str" cm="1">
        <f t="array" ref="C118">INDEX('Motivos detalle'!$B:$B,$B118)</f>
        <v>XLU</v>
      </c>
      <c r="D118" s="17" cm="1">
        <f t="array" ref="D118">INDEX('Motivos detalle'!$A:$A,$B118)</f>
        <v>45678</v>
      </c>
      <c r="E118" s="16" cm="1">
        <f t="array" ref="E118">INDEX('Motivos detalle'!$E:$E,$B118)</f>
        <v>2</v>
      </c>
      <c r="F118" s="18" cm="1">
        <f t="array" ref="F118">INDEX('Motivos detalle'!$F:$F,$B118)</f>
        <v>0.35260000000000002</v>
      </c>
      <c r="G118" s="19" cm="1">
        <f t="array" ref="G118">INDEX('Motivos detalle'!$G:$G,$B118)</f>
        <v>38.4</v>
      </c>
      <c r="H118" s="19" cm="1">
        <f t="array" ref="H118">INDEX('Motivos detalle'!$H:$H,$B118)</f>
        <v>37.99</v>
      </c>
      <c r="I118" s="18">
        <f t="shared" si="11"/>
        <v>1.0792313766780692E-2</v>
      </c>
      <c r="J118" s="16" cm="1">
        <f t="array" ref="J118">IFERROR(_xlfn.AGGREGATE(15,6,ROW('Motivos detalle'!$C$2:$C$274)/(('Motivos detalle'!$C$2:$C$274="SALE")*('Motivos detalle'!$B$2:$B$274=C118)*(ROW('Motivos detalle'!$C$2:$C$274)&gt;B118)),1),"")</f>
        <v>233</v>
      </c>
      <c r="K118" s="17" cm="1">
        <f t="array" ref="K118">IF($J118="","",INDEX('Motivos detalle'!$A:$A,$J118))</f>
        <v>45722</v>
      </c>
      <c r="L118" s="19" cm="1">
        <f t="array" ref="L118">IF($J118="","",INDEX('Motivos detalle'!$G:$G,$J118))</f>
        <v>36.4</v>
      </c>
      <c r="M118" s="19" cm="1">
        <f t="array" ref="M118">IF($J118="","",INDEX('Motivos detalle'!$H:$H,$J118))</f>
        <v>36.869999999999997</v>
      </c>
      <c r="N118" s="16" t="str" cm="1">
        <f t="array" ref="N118">IF($J118="","Abierto",INDEX('Motivos detalle'!$D:$D,$J118))</f>
        <v>ruptura piso Donchian</v>
      </c>
      <c r="O118" s="16" cm="1">
        <f t="array" ref="O118">IF($J118="","",INDEX('Motivos detalle'!$E:$E,$J118))</f>
        <v>2</v>
      </c>
      <c r="P118">
        <f t="shared" si="12"/>
        <v>44</v>
      </c>
      <c r="Q118" s="14">
        <f t="shared" si="13"/>
        <v>-5.208333333333337E-2</v>
      </c>
      <c r="R118" t="str">
        <f t="shared" si="14"/>
        <v>Perdedor</v>
      </c>
      <c r="S118" t="str">
        <f>VLOOKUP(F118,Parametros!$A$25:$B$29,2,TRUE)</f>
        <v>Más de 30%</v>
      </c>
      <c r="T118" s="14">
        <f t="shared" si="15"/>
        <v>-1.274749118524543E-2</v>
      </c>
      <c r="U118" cm="1">
        <f t="array" ref="U118">IF(J118="","",IFERROR(_xlfn.AGGREGATE(15,6,ROW('Motivos detalle'!$C$2:$C$274)/(('Motivos detalle'!$C$2:$C$274="ENTRA")*('Motivos detalle'!$B$2:$B$274=C118)*(ROW('Motivos detalle'!$C$2:$C$274)&gt;J118)),1),""))</f>
        <v>236</v>
      </c>
      <c r="V118" s="17" cm="1">
        <f t="array" ref="V118">IF(U118="","",INDEX('Motivos detalle'!$A:$A,U118))</f>
        <v>45783</v>
      </c>
      <c r="W118">
        <f t="shared" si="16"/>
        <v>61</v>
      </c>
      <c r="X118" s="19" cm="1">
        <f t="array" ref="X118">IF(U118="","",INDEX('Motivos detalle'!$G:$G,U118))</f>
        <v>38.9</v>
      </c>
      <c r="Y118" t="str">
        <f>IF(W118="","No",IF(W118&lt;Parametros!$B$4,"Sí","No"))</f>
        <v>No</v>
      </c>
      <c r="Z118" s="14" t="str">
        <f t="shared" si="17"/>
        <v/>
      </c>
      <c r="AA118" t="str">
        <f>IF(F118&gt;Parametros!$B$7,"Sí","No")</f>
        <v>Sí</v>
      </c>
      <c r="AB118" s="15">
        <f>VLOOKUP(YEAR(D118),Parametros!$A$11:$B$21,2,FALSE)</f>
        <v>4.2000000000000003E-2</v>
      </c>
      <c r="AC118" t="str">
        <f t="shared" si="18"/>
        <v>Sí</v>
      </c>
      <c r="AD118" t="str">
        <f>IF(N118="ruptura piso Donchian",IF(T118&gt;-Parametros!$B$6,"Sí","No"),"")</f>
        <v>No</v>
      </c>
      <c r="AE118" s="15">
        <f>IF(J118="","",(L118*(1-Parametros!$B$32))/(G118*(1+Parametros!$B$32))-1)</f>
        <v>-5.586743180306053E-2</v>
      </c>
      <c r="AF118" s="15">
        <f t="shared" si="19"/>
        <v>3.7840984697271596E-3</v>
      </c>
    </row>
    <row r="119" spans="1:32" x14ac:dyDescent="0.3">
      <c r="A119">
        <f t="shared" si="10"/>
        <v>116</v>
      </c>
      <c r="B119" cm="1">
        <f t="array" ref="B119">IFERROR(_xlfn.AGGREGATE(15,6,ROW('Motivos detalle'!$C$2:$C$274)/('Motivos detalle'!$C$2:$C$274="ENTRA"),A119),"")</f>
        <v>230</v>
      </c>
      <c r="C119" s="16" t="str" cm="1">
        <f t="array" ref="C119">INDEX('Motivos detalle'!$B:$B,$B119)</f>
        <v>XLC</v>
      </c>
      <c r="D119" s="17" cm="1">
        <f t="array" ref="D119">INDEX('Motivos detalle'!$A:$A,$B119)</f>
        <v>45681</v>
      </c>
      <c r="E119" s="16" cm="1">
        <f t="array" ref="E119">INDEX('Motivos detalle'!$E:$E,$B119)</f>
        <v>3</v>
      </c>
      <c r="F119" s="18" cm="1">
        <f t="array" ref="F119">INDEX('Motivos detalle'!$F:$F,$B119)</f>
        <v>0.3407</v>
      </c>
      <c r="G119" s="19" cm="1">
        <f t="array" ref="G119">INDEX('Motivos detalle'!$G:$G,$B119)</f>
        <v>98.63</v>
      </c>
      <c r="H119" s="19" cm="1">
        <f t="array" ref="H119">INDEX('Motivos detalle'!$H:$H,$B119)</f>
        <v>98.04</v>
      </c>
      <c r="I119" s="18">
        <f t="shared" si="11"/>
        <v>6.0179518563849843E-3</v>
      </c>
      <c r="J119" s="16" cm="1">
        <f t="array" ref="J119">IFERROR(_xlfn.AGGREGATE(15,6,ROW('Motivos detalle'!$C$2:$C$274)/(('Motivos detalle'!$C$2:$C$274="SALE")*('Motivos detalle'!$B$2:$B$274=C119)*(ROW('Motivos detalle'!$C$2:$C$274)&gt;B119)),1),"")</f>
        <v>231</v>
      </c>
      <c r="K119" s="17" cm="1">
        <f t="array" ref="K119">IF($J119="","",INDEX('Motivos detalle'!$A:$A,$J119))</f>
        <v>45715</v>
      </c>
      <c r="L119" s="19" cm="1">
        <f t="array" ref="L119">IF($J119="","",INDEX('Motivos detalle'!$G:$G,$J119))</f>
        <v>98.75</v>
      </c>
      <c r="M119" s="19" cm="1">
        <f t="array" ref="M119">IF($J119="","",INDEX('Motivos detalle'!$H:$H,$J119))</f>
        <v>99.32</v>
      </c>
      <c r="N119" s="16" t="str" cm="1">
        <f t="array" ref="N119">IF($J119="","Abierto",INDEX('Motivos detalle'!$D:$D,$J119))</f>
        <v>ruptura piso Donchian</v>
      </c>
      <c r="O119" s="16" cm="1">
        <f t="array" ref="O119">IF($J119="","",INDEX('Motivos detalle'!$E:$E,$J119))</f>
        <v>3</v>
      </c>
      <c r="P119">
        <f t="shared" si="12"/>
        <v>34</v>
      </c>
      <c r="Q119" s="14">
        <f t="shared" si="13"/>
        <v>1.2166683564838188E-3</v>
      </c>
      <c r="R119" t="str">
        <f t="shared" si="14"/>
        <v>Ganador</v>
      </c>
      <c r="S119" t="str">
        <f>VLOOKUP(F119,Parametros!$A$25:$B$29,2,TRUE)</f>
        <v>Más de 30%</v>
      </c>
      <c r="T119" s="14">
        <f t="shared" si="15"/>
        <v>-5.7390253725331242E-3</v>
      </c>
      <c r="U119" cm="1">
        <f t="array" ref="U119">IF(J119="","",IFERROR(_xlfn.AGGREGATE(15,6,ROW('Motivos detalle'!$C$2:$C$274)/(('Motivos detalle'!$C$2:$C$274="ENTRA")*('Motivos detalle'!$B$2:$B$274=C119)*(ROW('Motivos detalle'!$C$2:$C$274)&gt;J119)),1),""))</f>
        <v>234</v>
      </c>
      <c r="V119" s="17" cm="1">
        <f t="array" ref="V119">IF(U119="","",INDEX('Motivos detalle'!$A:$A,U119))</f>
        <v>45779</v>
      </c>
      <c r="W119">
        <f t="shared" si="16"/>
        <v>64</v>
      </c>
      <c r="X119" s="19" cm="1">
        <f t="array" ref="X119">IF(U119="","",INDEX('Motivos detalle'!$G:$G,U119))</f>
        <v>95.98</v>
      </c>
      <c r="Y119" t="str">
        <f>IF(W119="","No",IF(W119&lt;Parametros!$B$4,"Sí","No"))</f>
        <v>No</v>
      </c>
      <c r="Z119" s="14" t="str">
        <f t="shared" si="17"/>
        <v/>
      </c>
      <c r="AA119" t="str">
        <f>IF(F119&gt;Parametros!$B$7,"Sí","No")</f>
        <v>Sí</v>
      </c>
      <c r="AB119" s="15">
        <f>VLOOKUP(YEAR(D119),Parametros!$A$11:$B$21,2,FALSE)</f>
        <v>4.2000000000000003E-2</v>
      </c>
      <c r="AC119" t="str">
        <f t="shared" si="18"/>
        <v>Sí</v>
      </c>
      <c r="AD119" t="str">
        <f>IF(N119="ruptura piso Donchian",IF(T119&gt;-Parametros!$B$6,"Sí","No"),"")</f>
        <v>No</v>
      </c>
      <c r="AE119" s="15">
        <f>IF(J119="","",(L119*(1-Parametros!$B$32))/(G119*(1+Parametros!$B$32))-1)</f>
        <v>-2.7802045710869638E-3</v>
      </c>
      <c r="AF119" s="15">
        <f t="shared" si="19"/>
        <v>3.9968729275707826E-3</v>
      </c>
    </row>
    <row r="120" spans="1:32" x14ac:dyDescent="0.3">
      <c r="A120">
        <f t="shared" si="10"/>
        <v>117</v>
      </c>
      <c r="B120" cm="1">
        <f t="array" ref="B120">IFERROR(_xlfn.AGGREGATE(15,6,ROW('Motivos detalle'!$C$2:$C$274)/('Motivos detalle'!$C$2:$C$274="ENTRA"),A120),"")</f>
        <v>234</v>
      </c>
      <c r="C120" s="16" t="str" cm="1">
        <f t="array" ref="C120">INDEX('Motivos detalle'!$B:$B,$B120)</f>
        <v>XLC</v>
      </c>
      <c r="D120" s="17" cm="1">
        <f t="array" ref="D120">INDEX('Motivos detalle'!$A:$A,$B120)</f>
        <v>45779</v>
      </c>
      <c r="E120" s="16" cm="1">
        <f t="array" ref="E120">INDEX('Motivos detalle'!$E:$E,$B120)</f>
        <v>1</v>
      </c>
      <c r="F120" s="18" cm="1">
        <f t="array" ref="F120">INDEX('Motivos detalle'!$F:$F,$B120)</f>
        <v>0.26529999999999998</v>
      </c>
      <c r="G120" s="19" cm="1">
        <f t="array" ref="G120">INDEX('Motivos detalle'!$G:$G,$B120)</f>
        <v>95.98</v>
      </c>
      <c r="H120" s="19" cm="1">
        <f t="array" ref="H120">INDEX('Motivos detalle'!$H:$H,$B120)</f>
        <v>95.48</v>
      </c>
      <c r="I120" s="18">
        <f t="shared" si="11"/>
        <v>5.2366987850858138E-3</v>
      </c>
      <c r="J120" s="16" cm="1">
        <f t="array" ref="J120">IFERROR(_xlfn.AGGREGATE(15,6,ROW('Motivos detalle'!$C$2:$C$274)/(('Motivos detalle'!$C$2:$C$274="SALE")*('Motivos detalle'!$B$2:$B$274=C120)*(ROW('Motivos detalle'!$C$2:$C$274)&gt;B120)),1),"")</f>
        <v>241</v>
      </c>
      <c r="K120" s="17" cm="1">
        <f t="array" ref="K120">IF($J120="","",INDEX('Motivos detalle'!$A:$A,$J120))</f>
        <v>45940</v>
      </c>
      <c r="L120" s="19" cm="1">
        <f t="array" ref="L120">IF($J120="","",INDEX('Motivos detalle'!$G:$G,$J120))</f>
        <v>111.79</v>
      </c>
      <c r="M120" s="19" cm="1">
        <f t="array" ref="M120">IF($J120="","",INDEX('Motivos detalle'!$H:$H,$J120))</f>
        <v>113.67</v>
      </c>
      <c r="N120" s="16" t="str" cm="1">
        <f t="array" ref="N120">IF($J120="","Abierto",INDEX('Motivos detalle'!$D:$D,$J120))</f>
        <v>ruptura piso Donchian</v>
      </c>
      <c r="O120" s="16" cm="1">
        <f t="array" ref="O120">IF($J120="","",INDEX('Motivos detalle'!$E:$E,$J120))</f>
        <v>1</v>
      </c>
      <c r="P120">
        <f t="shared" si="12"/>
        <v>161</v>
      </c>
      <c r="Q120" s="14">
        <f t="shared" si="13"/>
        <v>0.16472181704521782</v>
      </c>
      <c r="R120" t="str">
        <f t="shared" si="14"/>
        <v>Ganador</v>
      </c>
      <c r="S120" t="str">
        <f>VLOOKUP(F120,Parametros!$A$25:$B$29,2,TRUE)</f>
        <v>15% a 30%</v>
      </c>
      <c r="T120" s="14">
        <f t="shared" si="15"/>
        <v>-1.6539104425090101E-2</v>
      </c>
      <c r="U120" cm="1">
        <f t="array" ref="U120">IF(J120="","",IFERROR(_xlfn.AGGREGATE(15,6,ROW('Motivos detalle'!$C$2:$C$274)/(('Motivos detalle'!$C$2:$C$274="ENTRA")*('Motivos detalle'!$B$2:$B$274=C120)*(ROW('Motivos detalle'!$C$2:$C$274)&gt;J120)),1),""))</f>
        <v>250</v>
      </c>
      <c r="V120" s="17" cm="1">
        <f t="array" ref="V120">IF(U120="","",INDEX('Motivos detalle'!$A:$A,U120))</f>
        <v>45996</v>
      </c>
      <c r="W120">
        <f t="shared" si="16"/>
        <v>56</v>
      </c>
      <c r="X120" s="19" cm="1">
        <f t="array" ref="X120">IF(U120="","",INDEX('Motivos detalle'!$G:$G,U120))</f>
        <v>116.08</v>
      </c>
      <c r="Y120" t="str">
        <f>IF(W120="","No",IF(W120&lt;Parametros!$B$4,"Sí","No"))</f>
        <v>No</v>
      </c>
      <c r="Z120" s="14" t="str">
        <f t="shared" si="17"/>
        <v/>
      </c>
      <c r="AA120" t="str">
        <f>IF(F120&gt;Parametros!$B$7,"Sí","No")</f>
        <v>Sí</v>
      </c>
      <c r="AB120" s="15">
        <f>VLOOKUP(YEAR(D120),Parametros!$A$11:$B$21,2,FALSE)</f>
        <v>4.2000000000000003E-2</v>
      </c>
      <c r="AC120" t="str">
        <f t="shared" si="18"/>
        <v>Sí</v>
      </c>
      <c r="AD120" t="str">
        <f>IF(N120="ruptura piso Donchian",IF(T120&gt;-Parametros!$B$6,"Sí","No"),"")</f>
        <v>No</v>
      </c>
      <c r="AE120" s="15">
        <f>IF(J120="","",(L120*(1-Parametros!$B$32))/(G120*(1+Parametros!$B$32))-1)</f>
        <v>0.16007222895322104</v>
      </c>
      <c r="AF120" s="15">
        <f t="shared" si="19"/>
        <v>4.6495880919967814E-3</v>
      </c>
    </row>
    <row r="121" spans="1:32" x14ac:dyDescent="0.3">
      <c r="A121">
        <f t="shared" si="10"/>
        <v>118</v>
      </c>
      <c r="B121" cm="1">
        <f t="array" ref="B121">IFERROR(_xlfn.AGGREGATE(15,6,ROW('Motivos detalle'!$C$2:$C$274)/('Motivos detalle'!$C$2:$C$274="ENTRA"),A121),"")</f>
        <v>235</v>
      </c>
      <c r="C121" s="16" t="str" cm="1">
        <f t="array" ref="C121">INDEX('Motivos detalle'!$B:$B,$B121)</f>
        <v>XLF</v>
      </c>
      <c r="D121" s="17" cm="1">
        <f t="array" ref="D121">INDEX('Motivos detalle'!$A:$A,$B121)</f>
        <v>45779</v>
      </c>
      <c r="E121" s="16" cm="1">
        <f t="array" ref="E121">INDEX('Motivos detalle'!$E:$E,$B121)</f>
        <v>2</v>
      </c>
      <c r="F121" s="18" cm="1">
        <f t="array" ref="F121">INDEX('Motivos detalle'!$F:$F,$B121)</f>
        <v>0.25209999999999999</v>
      </c>
      <c r="G121" s="19" cm="1">
        <f t="array" ref="G121">INDEX('Motivos detalle'!$G:$G,$B121)</f>
        <v>48.83</v>
      </c>
      <c r="H121" s="19" cm="1">
        <f t="array" ref="H121">INDEX('Motivos detalle'!$H:$H,$B121)</f>
        <v>48.16</v>
      </c>
      <c r="I121" s="18">
        <f t="shared" si="11"/>
        <v>1.3911960132890311E-2</v>
      </c>
      <c r="J121" s="16" cm="1">
        <f t="array" ref="J121">IFERROR(_xlfn.AGGREGATE(15,6,ROW('Motivos detalle'!$C$2:$C$274)/(('Motivos detalle'!$C$2:$C$274="SALE")*('Motivos detalle'!$B$2:$B$274=C121)*(ROW('Motivos detalle'!$C$2:$C$274)&gt;B121)),1),"")</f>
        <v>242</v>
      </c>
      <c r="K121" s="17" cm="1">
        <f t="array" ref="K121">IF($J121="","",INDEX('Motivos detalle'!$A:$A,$J121))</f>
        <v>45940</v>
      </c>
      <c r="L121" s="19" cm="1">
        <f t="array" ref="L121">IF($J121="","",INDEX('Motivos detalle'!$G:$G,$J121))</f>
        <v>51.53</v>
      </c>
      <c r="M121" s="19" cm="1">
        <f t="array" ref="M121">IF($J121="","",INDEX('Motivos detalle'!$H:$H,$J121))</f>
        <v>52.42</v>
      </c>
      <c r="N121" s="16" t="str" cm="1">
        <f t="array" ref="N121">IF($J121="","Abierto",INDEX('Motivos detalle'!$D:$D,$J121))</f>
        <v>ruptura piso Donchian</v>
      </c>
      <c r="O121" s="16" cm="1">
        <f t="array" ref="O121">IF($J121="","",INDEX('Motivos detalle'!$E:$E,$J121))</f>
        <v>5</v>
      </c>
      <c r="P121">
        <f t="shared" si="12"/>
        <v>161</v>
      </c>
      <c r="Q121" s="14">
        <f t="shared" si="13"/>
        <v>5.5293876715134305E-2</v>
      </c>
      <c r="R121" t="str">
        <f t="shared" si="14"/>
        <v>Ganador</v>
      </c>
      <c r="S121" t="str">
        <f>VLOOKUP(F121,Parametros!$A$25:$B$29,2,TRUE)</f>
        <v>15% a 30%</v>
      </c>
      <c r="T121" s="14">
        <f t="shared" si="15"/>
        <v>-1.6978252575352903E-2</v>
      </c>
      <c r="U121" t="str" cm="1">
        <f t="array" ref="U121">IF(J121="","",IFERROR(_xlfn.AGGREGATE(15,6,ROW('Motivos detalle'!$C$2:$C$274)/(('Motivos detalle'!$C$2:$C$274="ENTRA")*('Motivos detalle'!$B$2:$B$274=C121)*(ROW('Motivos detalle'!$C$2:$C$274)&gt;J121)),1),""))</f>
        <v/>
      </c>
      <c r="V121" s="17" t="str" cm="1">
        <f t="array" ref="V121">IF(U121="","",INDEX('Motivos detalle'!$A:$A,U121))</f>
        <v/>
      </c>
      <c r="W121" t="str">
        <f t="shared" si="16"/>
        <v/>
      </c>
      <c r="X121" s="19" t="str" cm="1">
        <f t="array" ref="X121">IF(U121="","",INDEX('Motivos detalle'!$G:$G,U121))</f>
        <v/>
      </c>
      <c r="Y121" t="str">
        <f>IF(W121="","No",IF(W121&lt;Parametros!$B$4,"Sí","No"))</f>
        <v>No</v>
      </c>
      <c r="Z121" s="14" t="str">
        <f t="shared" si="17"/>
        <v/>
      </c>
      <c r="AA121" t="str">
        <f>IF(F121&gt;Parametros!$B$7,"Sí","No")</f>
        <v>Sí</v>
      </c>
      <c r="AB121" s="15">
        <f>VLOOKUP(YEAR(D121),Parametros!$A$11:$B$21,2,FALSE)</f>
        <v>4.2000000000000003E-2</v>
      </c>
      <c r="AC121" t="str">
        <f t="shared" si="18"/>
        <v>Sí</v>
      </c>
      <c r="AD121" t="str">
        <f>IF(N121="ruptura piso Donchian",IF(T121&gt;-Parametros!$B$6,"Sí","No"),"")</f>
        <v>No</v>
      </c>
      <c r="AE121" s="15">
        <f>IF(J121="","",(L121*(1-Parametros!$B$32))/(G121*(1+Parametros!$B$32))-1)</f>
        <v>5.108112670828735E-2</v>
      </c>
      <c r="AF121" s="15">
        <f t="shared" si="19"/>
        <v>4.2127500068469548E-3</v>
      </c>
    </row>
    <row r="122" spans="1:32" x14ac:dyDescent="0.3">
      <c r="A122">
        <f t="shared" si="10"/>
        <v>119</v>
      </c>
      <c r="B122" cm="1">
        <f t="array" ref="B122">IFERROR(_xlfn.AGGREGATE(15,6,ROW('Motivos detalle'!$C$2:$C$274)/('Motivos detalle'!$C$2:$C$274="ENTRA"),A122),"")</f>
        <v>236</v>
      </c>
      <c r="C122" s="16" t="str" cm="1">
        <f t="array" ref="C122">INDEX('Motivos detalle'!$B:$B,$B122)</f>
        <v>XLU</v>
      </c>
      <c r="D122" s="17" cm="1">
        <f t="array" ref="D122">INDEX('Motivos detalle'!$A:$A,$B122)</f>
        <v>45783</v>
      </c>
      <c r="E122" s="16" cm="1">
        <f t="array" ref="E122">INDEX('Motivos detalle'!$E:$E,$B122)</f>
        <v>3</v>
      </c>
      <c r="F122" s="18" cm="1">
        <f t="array" ref="F122">INDEX('Motivos detalle'!$F:$F,$B122)</f>
        <v>0.22259999999999999</v>
      </c>
      <c r="G122" s="19" cm="1">
        <f t="array" ref="G122">INDEX('Motivos detalle'!$G:$G,$B122)</f>
        <v>38.9</v>
      </c>
      <c r="H122" s="19" cm="1">
        <f t="array" ref="H122">INDEX('Motivos detalle'!$H:$H,$B122)</f>
        <v>38.71</v>
      </c>
      <c r="I122" s="18">
        <f t="shared" si="11"/>
        <v>4.9082924308962994E-3</v>
      </c>
      <c r="J122" s="16" cm="1">
        <f t="array" ref="J122">IFERROR(_xlfn.AGGREGATE(15,6,ROW('Motivos detalle'!$C$2:$C$274)/(('Motivos detalle'!$C$2:$C$274="SALE")*('Motivos detalle'!$B$2:$B$274=C122)*(ROW('Motivos detalle'!$C$2:$C$274)&gt;B122)),1),"")</f>
        <v>237</v>
      </c>
      <c r="K122" s="17" cm="1">
        <f t="array" ref="K122">IF($J122="","",INDEX('Motivos detalle'!$A:$A,$J122))</f>
        <v>45866</v>
      </c>
      <c r="L122" s="19" cm="1">
        <f t="array" ref="L122">IF($J122="","",INDEX('Motivos detalle'!$G:$G,$J122))</f>
        <v>40.68</v>
      </c>
      <c r="M122" s="19" cm="1">
        <f t="array" ref="M122">IF($J122="","",INDEX('Motivos detalle'!$H:$H,$J122))</f>
        <v>39.090000000000003</v>
      </c>
      <c r="N122" s="16" t="str" cm="1">
        <f t="array" ref="N122">IF($J122="","Abierto",INDEX('Motivos detalle'!$D:$D,$J122))</f>
        <v>cae del ranking (&gt;#5)</v>
      </c>
      <c r="O122" s="16" cm="1">
        <f t="array" ref="O122">IF($J122="","",INDEX('Motivos detalle'!$E:$E,$J122))</f>
        <v>6</v>
      </c>
      <c r="P122">
        <f t="shared" si="12"/>
        <v>83</v>
      </c>
      <c r="Q122" s="14">
        <f t="shared" si="13"/>
        <v>4.5758354755784048E-2</v>
      </c>
      <c r="R122" t="str">
        <f t="shared" si="14"/>
        <v>Ganador</v>
      </c>
      <c r="S122" t="str">
        <f>VLOOKUP(F122,Parametros!$A$25:$B$29,2,TRUE)</f>
        <v>15% a 30%</v>
      </c>
      <c r="T122" s="14" t="str">
        <f t="shared" si="15"/>
        <v/>
      </c>
      <c r="U122" cm="1">
        <f t="array" ref="U122">IF(J122="","",IFERROR(_xlfn.AGGREGATE(15,6,ROW('Motivos detalle'!$C$2:$C$274)/(('Motivos detalle'!$C$2:$C$274="ENTRA")*('Motivos detalle'!$B$2:$B$274=C122)*(ROW('Motivos detalle'!$C$2:$C$274)&gt;J122)),1),""))</f>
        <v>238</v>
      </c>
      <c r="V122" s="17" cm="1">
        <f t="array" ref="V122">IF(U122="","",INDEX('Motivos detalle'!$A:$A,U122))</f>
        <v>45873</v>
      </c>
      <c r="W122">
        <f t="shared" si="16"/>
        <v>7</v>
      </c>
      <c r="X122" s="19" cm="1">
        <f t="array" ref="X122">IF(U122="","",INDEX('Motivos detalle'!$G:$G,U122))</f>
        <v>42.48</v>
      </c>
      <c r="Y122" t="str">
        <f>IF(W122="","No",IF(W122&lt;Parametros!$B$4,"Sí","No"))</f>
        <v>Sí</v>
      </c>
      <c r="Z122" s="14">
        <f t="shared" si="17"/>
        <v>4.4247787610619316E-2</v>
      </c>
      <c r="AA122" t="str">
        <f>IF(F122&gt;Parametros!$B$7,"Sí","No")</f>
        <v>Sí</v>
      </c>
      <c r="AB122" s="15">
        <f>VLOOKUP(YEAR(D122),Parametros!$A$11:$B$21,2,FALSE)</f>
        <v>4.2000000000000003E-2</v>
      </c>
      <c r="AC122" t="str">
        <f t="shared" si="18"/>
        <v>Sí</v>
      </c>
      <c r="AD122" t="str">
        <f>IF(N122="ruptura piso Donchian",IF(T122&gt;-Parametros!$B$6,"Sí","No"),"")</f>
        <v/>
      </c>
      <c r="AE122" s="15">
        <f>IF(J122="","",(L122*(1-Parametros!$B$32))/(G122*(1+Parametros!$B$32))-1)</f>
        <v>4.1583670704862685E-2</v>
      </c>
      <c r="AF122" s="15">
        <f t="shared" si="19"/>
        <v>4.1746840509213623E-3</v>
      </c>
    </row>
    <row r="123" spans="1:32" x14ac:dyDescent="0.3">
      <c r="A123">
        <f t="shared" si="10"/>
        <v>120</v>
      </c>
      <c r="B123" cm="1">
        <f t="array" ref="B123">IFERROR(_xlfn.AGGREGATE(15,6,ROW('Motivos detalle'!$C$2:$C$274)/('Motivos detalle'!$C$2:$C$274="ENTRA"),A123),"")</f>
        <v>238</v>
      </c>
      <c r="C123" s="16" t="str" cm="1">
        <f t="array" ref="C123">INDEX('Motivos detalle'!$B:$B,$B123)</f>
        <v>XLU</v>
      </c>
      <c r="D123" s="17" cm="1">
        <f t="array" ref="D123">INDEX('Motivos detalle'!$A:$A,$B123)</f>
        <v>45873</v>
      </c>
      <c r="E123" s="16" cm="1">
        <f t="array" ref="E123">INDEX('Motivos detalle'!$E:$E,$B123)</f>
        <v>2</v>
      </c>
      <c r="F123" s="18" cm="1">
        <f t="array" ref="F123">INDEX('Motivos detalle'!$F:$F,$B123)</f>
        <v>0.2349</v>
      </c>
      <c r="G123" s="19" cm="1">
        <f t="array" ref="G123">INDEX('Motivos detalle'!$G:$G,$B123)</f>
        <v>42.48</v>
      </c>
      <c r="H123" s="19" cm="1">
        <f t="array" ref="H123">INDEX('Motivos detalle'!$H:$H,$B123)</f>
        <v>41.96</v>
      </c>
      <c r="I123" s="18">
        <f t="shared" si="11"/>
        <v>1.2392755004766443E-2</v>
      </c>
      <c r="J123" s="16" cm="1">
        <f t="array" ref="J123">IFERROR(_xlfn.AGGREGATE(15,6,ROW('Motivos detalle'!$C$2:$C$274)/(('Motivos detalle'!$C$2:$C$274="SALE")*('Motivos detalle'!$B$2:$B$274=C123)*(ROW('Motivos detalle'!$C$2:$C$274)&gt;B123)),1),"")</f>
        <v>239</v>
      </c>
      <c r="K123" s="17" cm="1">
        <f t="array" ref="K123">IF($J123="","",INDEX('Motivos detalle'!$A:$A,$J123))</f>
        <v>45874</v>
      </c>
      <c r="L123" s="19" cm="1">
        <f t="array" ref="L123">IF($J123="","",INDEX('Motivos detalle'!$G:$G,$J123))</f>
        <v>42.02</v>
      </c>
      <c r="M123" s="19" cm="1">
        <f t="array" ref="M123">IF($J123="","",INDEX('Motivos detalle'!$H:$H,$J123))</f>
        <v>39.090000000000003</v>
      </c>
      <c r="N123" s="16" t="str" cm="1">
        <f t="array" ref="N123">IF($J123="","Abierto",INDEX('Motivos detalle'!$D:$D,$J123))</f>
        <v>cae del ranking (&gt;#5)</v>
      </c>
      <c r="O123" s="16" cm="1">
        <f t="array" ref="O123">IF($J123="","",INDEX('Motivos detalle'!$E:$E,$J123))</f>
        <v>6</v>
      </c>
      <c r="P123">
        <f t="shared" si="12"/>
        <v>1</v>
      </c>
      <c r="Q123" s="14">
        <f t="shared" si="13"/>
        <v>-1.0828625235404732E-2</v>
      </c>
      <c r="R123" t="str">
        <f t="shared" si="14"/>
        <v>Perdedor</v>
      </c>
      <c r="S123" t="str">
        <f>VLOOKUP(F123,Parametros!$A$25:$B$29,2,TRUE)</f>
        <v>15% a 30%</v>
      </c>
      <c r="T123" s="14" t="str">
        <f t="shared" si="15"/>
        <v/>
      </c>
      <c r="U123" cm="1">
        <f t="array" ref="U123">IF(J123="","",IFERROR(_xlfn.AGGREGATE(15,6,ROW('Motivos detalle'!$C$2:$C$274)/(('Motivos detalle'!$C$2:$C$274="ENTRA")*('Motivos detalle'!$B$2:$B$274=C123)*(ROW('Motivos detalle'!$C$2:$C$274)&gt;J123)),1),""))</f>
        <v>244</v>
      </c>
      <c r="V123" s="17" cm="1">
        <f t="array" ref="V123">IF(U123="","",INDEX('Motivos detalle'!$A:$A,U123))</f>
        <v>45944</v>
      </c>
      <c r="W123">
        <f t="shared" si="16"/>
        <v>70</v>
      </c>
      <c r="X123" s="19" cm="1">
        <f t="array" ref="X123">IF(U123="","",INDEX('Motivos detalle'!$G:$G,U123))</f>
        <v>44.91</v>
      </c>
      <c r="Y123" t="str">
        <f>IF(W123="","No",IF(W123&lt;Parametros!$B$4,"Sí","No"))</f>
        <v>No</v>
      </c>
      <c r="Z123" s="14" t="str">
        <f t="shared" si="17"/>
        <v/>
      </c>
      <c r="AA123" t="str">
        <f>IF(F123&gt;Parametros!$B$7,"Sí","No")</f>
        <v>Sí</v>
      </c>
      <c r="AB123" s="15">
        <f>VLOOKUP(YEAR(D123),Parametros!$A$11:$B$21,2,FALSE)</f>
        <v>4.2000000000000003E-2</v>
      </c>
      <c r="AC123" t="str">
        <f t="shared" si="18"/>
        <v>Sí</v>
      </c>
      <c r="AD123" t="str">
        <f>IF(N123="ruptura piso Donchian",IF(T123&gt;-Parametros!$B$6,"Sí","No"),"")</f>
        <v/>
      </c>
      <c r="AE123" s="15">
        <f>IF(J123="","",(L123*(1-Parametros!$B$32))/(G123*(1+Parametros!$B$32))-1)</f>
        <v>-1.4777413158616803E-2</v>
      </c>
      <c r="AF123" s="15">
        <f t="shared" si="19"/>
        <v>3.9487879232120715E-3</v>
      </c>
    </row>
    <row r="124" spans="1:32" x14ac:dyDescent="0.3">
      <c r="A124">
        <f t="shared" si="10"/>
        <v>121</v>
      </c>
      <c r="B124" cm="1">
        <f t="array" ref="B124">IFERROR(_xlfn.AGGREGATE(15,6,ROW('Motivos detalle'!$C$2:$C$274)/('Motivos detalle'!$C$2:$C$274="ENTRA"),A124),"")</f>
        <v>240</v>
      </c>
      <c r="C124" s="16" t="str" cm="1">
        <f t="array" ref="C124">INDEX('Motivos detalle'!$B:$B,$B124)</f>
        <v>XLY</v>
      </c>
      <c r="D124" s="17" cm="1">
        <f t="array" ref="D124">INDEX('Motivos detalle'!$A:$A,$B124)</f>
        <v>45882</v>
      </c>
      <c r="E124" s="16" cm="1">
        <f t="array" ref="E124">INDEX('Motivos detalle'!$E:$E,$B124)</f>
        <v>1</v>
      </c>
      <c r="F124" s="18" cm="1">
        <f t="array" ref="F124">INDEX('Motivos detalle'!$F:$F,$B124)</f>
        <v>0.3301</v>
      </c>
      <c r="G124" s="19" cm="1">
        <f t="array" ref="G124">INDEX('Motivos detalle'!$G:$G,$B124)</f>
        <v>114.04</v>
      </c>
      <c r="H124" s="19" cm="1">
        <f t="array" ref="H124">INDEX('Motivos detalle'!$H:$H,$B124)</f>
        <v>112.79</v>
      </c>
      <c r="I124" s="18">
        <f t="shared" si="11"/>
        <v>1.1082542778615201E-2</v>
      </c>
      <c r="J124" s="16" cm="1">
        <f t="array" ref="J124">IFERROR(_xlfn.AGGREGATE(15,6,ROW('Motivos detalle'!$C$2:$C$274)/(('Motivos detalle'!$C$2:$C$274="SALE")*('Motivos detalle'!$B$2:$B$274=C124)*(ROW('Motivos detalle'!$C$2:$C$274)&gt;B124)),1),"")</f>
        <v>243</v>
      </c>
      <c r="K124" s="17" cm="1">
        <f t="array" ref="K124">IF($J124="","",INDEX('Motivos detalle'!$A:$A,$J124))</f>
        <v>45940</v>
      </c>
      <c r="L124" s="19" cm="1">
        <f t="array" ref="L124">IF($J124="","",INDEX('Motivos detalle'!$G:$G,$J124))</f>
        <v>113.69</v>
      </c>
      <c r="M124" s="19" cm="1">
        <f t="array" ref="M124">IF($J124="","",INDEX('Motivos detalle'!$H:$H,$J124))</f>
        <v>116.09</v>
      </c>
      <c r="N124" s="16" t="str" cm="1">
        <f t="array" ref="N124">IF($J124="","Abierto",INDEX('Motivos detalle'!$D:$D,$J124))</f>
        <v>ruptura piso Donchian</v>
      </c>
      <c r="O124" s="16" cm="1">
        <f t="array" ref="O124">IF($J124="","",INDEX('Motivos detalle'!$E:$E,$J124))</f>
        <v>3</v>
      </c>
      <c r="P124">
        <f t="shared" si="12"/>
        <v>58</v>
      </c>
      <c r="Q124" s="14">
        <f t="shared" si="13"/>
        <v>-3.069098561908179E-3</v>
      </c>
      <c r="R124" t="str">
        <f t="shared" si="14"/>
        <v>Perdedor</v>
      </c>
      <c r="S124" t="str">
        <f>VLOOKUP(F124,Parametros!$A$25:$B$29,2,TRUE)</f>
        <v>Más de 30%</v>
      </c>
      <c r="T124" s="14">
        <f t="shared" si="15"/>
        <v>-2.0673615298475334E-2</v>
      </c>
      <c r="U124" t="str" cm="1">
        <f t="array" ref="U124">IF(J124="","",IFERROR(_xlfn.AGGREGATE(15,6,ROW('Motivos detalle'!$C$2:$C$274)/(('Motivos detalle'!$C$2:$C$274="ENTRA")*('Motivos detalle'!$B$2:$B$274=C124)*(ROW('Motivos detalle'!$C$2:$C$274)&gt;J124)),1),""))</f>
        <v/>
      </c>
      <c r="V124" s="17" t="str" cm="1">
        <f t="array" ref="V124">IF(U124="","",INDEX('Motivos detalle'!$A:$A,U124))</f>
        <v/>
      </c>
      <c r="W124" t="str">
        <f t="shared" si="16"/>
        <v/>
      </c>
      <c r="X124" s="19" t="str" cm="1">
        <f t="array" ref="X124">IF(U124="","",INDEX('Motivos detalle'!$G:$G,U124))</f>
        <v/>
      </c>
      <c r="Y124" t="str">
        <f>IF(W124="","No",IF(W124&lt;Parametros!$B$4,"Sí","No"))</f>
        <v>No</v>
      </c>
      <c r="Z124" s="14" t="str">
        <f t="shared" si="17"/>
        <v/>
      </c>
      <c r="AA124" t="str">
        <f>IF(F124&gt;Parametros!$B$7,"Sí","No")</f>
        <v>Sí</v>
      </c>
      <c r="AB124" s="15">
        <f>VLOOKUP(YEAR(D124),Parametros!$A$11:$B$21,2,FALSE)</f>
        <v>4.2000000000000003E-2</v>
      </c>
      <c r="AC124" t="str">
        <f t="shared" si="18"/>
        <v>Sí</v>
      </c>
      <c r="AD124" t="str">
        <f>IF(N124="ruptura piso Donchian",IF(T124&gt;-Parametros!$B$6,"Sí","No"),"")</f>
        <v>No</v>
      </c>
      <c r="AE124" s="15">
        <f>IF(J124="","",(L124*(1-Parametros!$B$32))/(G124*(1+Parametros!$B$32))-1)</f>
        <v>-7.0488626395053267E-3</v>
      </c>
      <c r="AF124" s="15">
        <f t="shared" si="19"/>
        <v>3.9797640775971477E-3</v>
      </c>
    </row>
    <row r="125" spans="1:32" x14ac:dyDescent="0.3">
      <c r="A125">
        <f t="shared" si="10"/>
        <v>122</v>
      </c>
      <c r="B125" cm="1">
        <f t="array" ref="B125">IFERROR(_xlfn.AGGREGATE(15,6,ROW('Motivos detalle'!$C$2:$C$274)/('Motivos detalle'!$C$2:$C$274="ENTRA"),A125),"")</f>
        <v>244</v>
      </c>
      <c r="C125" s="16" t="str" cm="1">
        <f t="array" ref="C125">INDEX('Motivos detalle'!$B:$B,$B125)</f>
        <v>XLU</v>
      </c>
      <c r="D125" s="17" cm="1">
        <f t="array" ref="D125">INDEX('Motivos detalle'!$A:$A,$B125)</f>
        <v>45944</v>
      </c>
      <c r="E125" s="16" cm="1">
        <f t="array" ref="E125">INDEX('Motivos detalle'!$E:$E,$B125)</f>
        <v>3</v>
      </c>
      <c r="F125" s="18" cm="1">
        <f t="array" ref="F125">INDEX('Motivos detalle'!$F:$F,$B125)</f>
        <v>0.20150000000000001</v>
      </c>
      <c r="G125" s="19" cm="1">
        <f t="array" ref="G125">INDEX('Motivos detalle'!$G:$G,$B125)</f>
        <v>44.91</v>
      </c>
      <c r="H125" s="19" cm="1">
        <f t="array" ref="H125">INDEX('Motivos detalle'!$H:$H,$B125)</f>
        <v>44.74</v>
      </c>
      <c r="I125" s="18">
        <f t="shared" si="11"/>
        <v>3.7997317836386824E-3</v>
      </c>
      <c r="J125" s="16" cm="1">
        <f t="array" ref="J125">IFERROR(_xlfn.AGGREGATE(15,6,ROW('Motivos detalle'!$C$2:$C$274)/(('Motivos detalle'!$C$2:$C$274="SALE")*('Motivos detalle'!$B$2:$B$274=C125)*(ROW('Motivos detalle'!$C$2:$C$274)&gt;B125)),1),"")</f>
        <v>246</v>
      </c>
      <c r="K125" s="17" cm="1">
        <f t="array" ref="K125">IF($J125="","",INDEX('Motivos detalle'!$A:$A,$J125))</f>
        <v>45958</v>
      </c>
      <c r="L125" s="19" cm="1">
        <f t="array" ref="L125">IF($J125="","",INDEX('Motivos detalle'!$G:$G,$J125))</f>
        <v>44.14</v>
      </c>
      <c r="M125" s="19" cm="1">
        <f t="array" ref="M125">IF($J125="","",INDEX('Motivos detalle'!$H:$H,$J125))</f>
        <v>42.4</v>
      </c>
      <c r="N125" s="16" t="str" cm="1">
        <f t="array" ref="N125">IF($J125="","Abierto",INDEX('Motivos detalle'!$D:$D,$J125))</f>
        <v>cae del ranking (&gt;#5)</v>
      </c>
      <c r="O125" s="16" cm="1">
        <f t="array" ref="O125">IF($J125="","",INDEX('Motivos detalle'!$E:$E,$J125))</f>
        <v>6</v>
      </c>
      <c r="P125">
        <f t="shared" si="12"/>
        <v>14</v>
      </c>
      <c r="Q125" s="14">
        <f t="shared" si="13"/>
        <v>-1.7145401914940961E-2</v>
      </c>
      <c r="R125" t="str">
        <f t="shared" si="14"/>
        <v>Perdedor</v>
      </c>
      <c r="S125" t="str">
        <f>VLOOKUP(F125,Parametros!$A$25:$B$29,2,TRUE)</f>
        <v>15% a 30%</v>
      </c>
      <c r="T125" s="14" t="str">
        <f t="shared" si="15"/>
        <v/>
      </c>
      <c r="U125" t="str" cm="1">
        <f t="array" ref="U125">IF(J125="","",IFERROR(_xlfn.AGGREGATE(15,6,ROW('Motivos detalle'!$C$2:$C$274)/(('Motivos detalle'!$C$2:$C$274="ENTRA")*('Motivos detalle'!$B$2:$B$274=C125)*(ROW('Motivos detalle'!$C$2:$C$274)&gt;J125)),1),""))</f>
        <v/>
      </c>
      <c r="V125" s="17" t="str" cm="1">
        <f t="array" ref="V125">IF(U125="","",INDEX('Motivos detalle'!$A:$A,U125))</f>
        <v/>
      </c>
      <c r="W125" t="str">
        <f t="shared" si="16"/>
        <v/>
      </c>
      <c r="X125" s="19" t="str" cm="1">
        <f t="array" ref="X125">IF(U125="","",INDEX('Motivos detalle'!$G:$G,U125))</f>
        <v/>
      </c>
      <c r="Y125" t="str">
        <f>IF(W125="","No",IF(W125&lt;Parametros!$B$4,"Sí","No"))</f>
        <v>No</v>
      </c>
      <c r="Z125" s="14" t="str">
        <f t="shared" si="17"/>
        <v/>
      </c>
      <c r="AA125" t="str">
        <f>IF(F125&gt;Parametros!$B$7,"Sí","No")</f>
        <v>Sí</v>
      </c>
      <c r="AB125" s="15">
        <f>VLOOKUP(YEAR(D125),Parametros!$A$11:$B$21,2,FALSE)</f>
        <v>4.2000000000000003E-2</v>
      </c>
      <c r="AC125" t="str">
        <f t="shared" si="18"/>
        <v>Sí</v>
      </c>
      <c r="AD125" t="str">
        <f>IF(N125="ruptura piso Donchian",IF(T125&gt;-Parametros!$B$6,"Sí","No"),"")</f>
        <v/>
      </c>
      <c r="AE125" s="15">
        <f>IF(J125="","",(L125*(1-Parametros!$B$32))/(G125*(1+Parametros!$B$32))-1)</f>
        <v>-2.1068973164781513E-2</v>
      </c>
      <c r="AF125" s="15">
        <f t="shared" si="19"/>
        <v>3.9235712498405517E-3</v>
      </c>
    </row>
    <row r="126" spans="1:32" x14ac:dyDescent="0.3">
      <c r="A126">
        <f t="shared" si="10"/>
        <v>123</v>
      </c>
      <c r="B126" cm="1">
        <f t="array" ref="B126">IFERROR(_xlfn.AGGREGATE(15,6,ROW('Motivos detalle'!$C$2:$C$274)/('Motivos detalle'!$C$2:$C$274="ENTRA"),A126),"")</f>
        <v>245</v>
      </c>
      <c r="C126" s="16" t="str" cm="1">
        <f t="array" ref="C126">INDEX('Motivos detalle'!$B:$B,$B126)</f>
        <v>XLK</v>
      </c>
      <c r="D126" s="17" cm="1">
        <f t="array" ref="D126">INDEX('Motivos detalle'!$A:$A,$B126)</f>
        <v>45954</v>
      </c>
      <c r="E126" s="16" cm="1">
        <f t="array" ref="E126">INDEX('Motivos detalle'!$E:$E,$B126)</f>
        <v>2</v>
      </c>
      <c r="F126" s="18" cm="1">
        <f t="array" ref="F126">INDEX('Motivos detalle'!$F:$F,$B126)</f>
        <v>0.27479999999999999</v>
      </c>
      <c r="G126" s="19" cm="1">
        <f t="array" ref="G126">INDEX('Motivos detalle'!$G:$G,$B126)</f>
        <v>146.21</v>
      </c>
      <c r="H126" s="19" cm="1">
        <f t="array" ref="H126">INDEX('Motivos detalle'!$H:$H,$B126)</f>
        <v>145.1</v>
      </c>
      <c r="I126" s="18">
        <f t="shared" si="11"/>
        <v>7.6498966230187371E-3</v>
      </c>
      <c r="J126" s="16" cm="1">
        <f t="array" ref="J126">IFERROR(_xlfn.AGGREGATE(15,6,ROW('Motivos detalle'!$C$2:$C$274)/(('Motivos detalle'!$C$2:$C$274="SALE")*('Motivos detalle'!$B$2:$B$274=C126)*(ROW('Motivos detalle'!$C$2:$C$274)&gt;B126)),1),"")</f>
        <v>247</v>
      </c>
      <c r="K126" s="17" cm="1">
        <f t="array" ref="K126">IF($J126="","",INDEX('Motivos detalle'!$A:$A,$J126))</f>
        <v>45979</v>
      </c>
      <c r="L126" s="19" cm="1">
        <f t="array" ref="L126">IF($J126="","",INDEX('Motivos detalle'!$G:$G,$J126))</f>
        <v>138.97</v>
      </c>
      <c r="M126" s="19" cm="1">
        <f t="array" ref="M126">IF($J126="","",INDEX('Motivos detalle'!$H:$H,$J126))</f>
        <v>139.59</v>
      </c>
      <c r="N126" s="16" t="str" cm="1">
        <f t="array" ref="N126">IF($J126="","Abierto",INDEX('Motivos detalle'!$D:$D,$J126))</f>
        <v>ruptura piso Donchian</v>
      </c>
      <c r="O126" s="16" cm="1">
        <f t="array" ref="O126">IF($J126="","",INDEX('Motivos detalle'!$E:$E,$J126))</f>
        <v>1</v>
      </c>
      <c r="P126">
        <f t="shared" si="12"/>
        <v>25</v>
      </c>
      <c r="Q126" s="14">
        <f t="shared" si="13"/>
        <v>-4.9517816838793527E-2</v>
      </c>
      <c r="R126" t="str">
        <f t="shared" si="14"/>
        <v>Perdedor</v>
      </c>
      <c r="S126" t="str">
        <f>VLOOKUP(F126,Parametros!$A$25:$B$29,2,TRUE)</f>
        <v>15% a 30%</v>
      </c>
      <c r="T126" s="14">
        <f t="shared" si="15"/>
        <v>-4.4415789096640124E-3</v>
      </c>
      <c r="U126" cm="1">
        <f t="array" ref="U126">IF(J126="","",IFERROR(_xlfn.AGGREGATE(15,6,ROW('Motivos detalle'!$C$2:$C$274)/(('Motivos detalle'!$C$2:$C$274="ENTRA")*('Motivos detalle'!$B$2:$B$274=C126)*(ROW('Motivos detalle'!$C$2:$C$274)&gt;J126)),1),""))</f>
        <v>253</v>
      </c>
      <c r="V126" s="17" cm="1">
        <f t="array" ref="V126">IF(U126="","",INDEX('Motivos detalle'!$A:$A,U126))</f>
        <v>46049</v>
      </c>
      <c r="W126">
        <f t="shared" si="16"/>
        <v>70</v>
      </c>
      <c r="X126" s="19" cm="1">
        <f t="array" ref="X126">IF(U126="","",INDEX('Motivos detalle'!$G:$G,U126))</f>
        <v>147.69</v>
      </c>
      <c r="Y126" t="str">
        <f>IF(W126="","No",IF(W126&lt;Parametros!$B$4,"Sí","No"))</f>
        <v>No</v>
      </c>
      <c r="Z126" s="14" t="str">
        <f t="shared" si="17"/>
        <v/>
      </c>
      <c r="AA126" t="str">
        <f>IF(F126&gt;Parametros!$B$7,"Sí","No")</f>
        <v>Sí</v>
      </c>
      <c r="AB126" s="15">
        <f>VLOOKUP(YEAR(D126),Parametros!$A$11:$B$21,2,FALSE)</f>
        <v>4.2000000000000003E-2</v>
      </c>
      <c r="AC126" t="str">
        <f t="shared" si="18"/>
        <v>Sí</v>
      </c>
      <c r="AD126" t="str">
        <f>IF(N126="ruptura piso Donchian",IF(T126&gt;-Parametros!$B$6,"Sí","No"),"")</f>
        <v>No</v>
      </c>
      <c r="AE126" s="15">
        <f>IF(J126="","",(L126*(1-Parametros!$B$32))/(G126*(1+Parametros!$B$32))-1)</f>
        <v>-5.3312156891333284E-2</v>
      </c>
      <c r="AF126" s="15">
        <f t="shared" si="19"/>
        <v>3.7943400525397575E-3</v>
      </c>
    </row>
    <row r="127" spans="1:32" x14ac:dyDescent="0.3">
      <c r="A127">
        <f t="shared" si="10"/>
        <v>124</v>
      </c>
      <c r="B127" cm="1">
        <f t="array" ref="B127">IFERROR(_xlfn.AGGREGATE(15,6,ROW('Motivos detalle'!$C$2:$C$274)/('Motivos detalle'!$C$2:$C$274="ENTRA"),A127),"")</f>
        <v>248</v>
      </c>
      <c r="C127" s="16" t="str" cm="1">
        <f t="array" ref="C127">INDEX('Motivos detalle'!$B:$B,$B127)</f>
        <v>XLV</v>
      </c>
      <c r="D127" s="17" cm="1">
        <f t="array" ref="D127">INDEX('Motivos detalle'!$A:$A,$B127)</f>
        <v>45986</v>
      </c>
      <c r="E127" s="16" cm="1">
        <f t="array" ref="E127">INDEX('Motivos detalle'!$E:$E,$B127)</f>
        <v>3</v>
      </c>
      <c r="F127" s="18" cm="1">
        <f t="array" ref="F127">INDEX('Motivos detalle'!$F:$F,$B127)</f>
        <v>0.122</v>
      </c>
      <c r="G127" s="19" cm="1">
        <f t="array" ref="G127">INDEX('Motivos detalle'!$G:$G,$B127)</f>
        <v>156.76</v>
      </c>
      <c r="H127" s="19" cm="1">
        <f t="array" ref="H127">INDEX('Motivos detalle'!$H:$H,$B127)</f>
        <v>154.18</v>
      </c>
      <c r="I127" s="18">
        <f t="shared" si="11"/>
        <v>1.6733687897262817E-2</v>
      </c>
      <c r="J127" s="16" cm="1">
        <f t="array" ref="J127">IFERROR(_xlfn.AGGREGATE(15,6,ROW('Motivos detalle'!$C$2:$C$274)/(('Motivos detalle'!$C$2:$C$274="SALE")*('Motivos detalle'!$B$2:$B$274=C127)*(ROW('Motivos detalle'!$C$2:$C$274)&gt;B127)),1),"")</f>
        <v>249</v>
      </c>
      <c r="K127" s="17" cm="1">
        <f t="array" ref="K127">IF($J127="","",INDEX('Motivos detalle'!$A:$A,$J127))</f>
        <v>45993</v>
      </c>
      <c r="L127" s="19" cm="1">
        <f t="array" ref="L127">IF($J127="","",INDEX('Motivos detalle'!$G:$G,$J127))</f>
        <v>152.4</v>
      </c>
      <c r="M127" s="19" cm="1">
        <f t="array" ref="M127">IF($J127="","",INDEX('Motivos detalle'!$H:$H,$J127))</f>
        <v>141.02000000000001</v>
      </c>
      <c r="N127" s="16" t="str" cm="1">
        <f t="array" ref="N127">IF($J127="","Abierto",INDEX('Motivos detalle'!$D:$D,$J127))</f>
        <v>cae del ranking (&gt;#5)</v>
      </c>
      <c r="O127" s="16" cm="1">
        <f t="array" ref="O127">IF($J127="","",INDEX('Motivos detalle'!$E:$E,$J127))</f>
        <v>6</v>
      </c>
      <c r="P127">
        <f t="shared" si="12"/>
        <v>7</v>
      </c>
      <c r="Q127" s="14">
        <f t="shared" si="13"/>
        <v>-2.7813217657565614E-2</v>
      </c>
      <c r="R127" t="str">
        <f t="shared" si="14"/>
        <v>Perdedor</v>
      </c>
      <c r="S127" t="str">
        <f>VLOOKUP(F127,Parametros!$A$25:$B$29,2,TRUE)</f>
        <v>5% a 15%</v>
      </c>
      <c r="T127" s="14" t="str">
        <f t="shared" si="15"/>
        <v/>
      </c>
      <c r="U127" cm="1">
        <f t="array" ref="U127">IF(J127="","",IFERROR(_xlfn.AGGREGATE(15,6,ROW('Motivos detalle'!$C$2:$C$274)/(('Motivos detalle'!$C$2:$C$274="ENTRA")*('Motivos detalle'!$B$2:$B$274=C127)*(ROW('Motivos detalle'!$C$2:$C$274)&gt;J127)),1),""))</f>
        <v>270</v>
      </c>
      <c r="V127" s="17" cm="1">
        <f t="array" ref="V127">IF(U127="","",INDEX('Motivos detalle'!$A:$A,U127))</f>
        <v>46231</v>
      </c>
      <c r="W127">
        <f t="shared" si="16"/>
        <v>238</v>
      </c>
      <c r="X127" s="19" cm="1">
        <f t="array" ref="X127">IF(U127="","",INDEX('Motivos detalle'!$G:$G,U127))</f>
        <v>167.26</v>
      </c>
      <c r="Y127" t="str">
        <f>IF(W127="","No",IF(W127&lt;Parametros!$B$4,"Sí","No"))</f>
        <v>No</v>
      </c>
      <c r="Z127" s="14" t="str">
        <f t="shared" si="17"/>
        <v/>
      </c>
      <c r="AA127" t="str">
        <f>IF(F127&gt;Parametros!$B$7,"Sí","No")</f>
        <v>Sí</v>
      </c>
      <c r="AB127" s="15">
        <f>VLOOKUP(YEAR(D127),Parametros!$A$11:$B$21,2,FALSE)</f>
        <v>4.2000000000000003E-2</v>
      </c>
      <c r="AC127" t="str">
        <f t="shared" si="18"/>
        <v>Sí</v>
      </c>
      <c r="AD127" t="str">
        <f>IF(N127="ruptura piso Donchian",IF(T127&gt;-Parametros!$B$6,"Sí","No"),"")</f>
        <v/>
      </c>
      <c r="AE127" s="15">
        <f>IF(J127="","",(L127*(1-Parametros!$B$32))/(G127*(1+Parametros!$B$32))-1)</f>
        <v>-3.1694202816617278E-2</v>
      </c>
      <c r="AF127" s="15">
        <f t="shared" si="19"/>
        <v>3.8809851590516642E-3</v>
      </c>
    </row>
    <row r="128" spans="1:32" x14ac:dyDescent="0.3">
      <c r="A128">
        <f t="shared" si="10"/>
        <v>125</v>
      </c>
      <c r="B128" cm="1">
        <f t="array" ref="B128">IFERROR(_xlfn.AGGREGATE(15,6,ROW('Motivos detalle'!$C$2:$C$274)/('Motivos detalle'!$C$2:$C$274="ENTRA"),A128),"")</f>
        <v>250</v>
      </c>
      <c r="C128" s="16" t="str" cm="1">
        <f t="array" ref="C128">INDEX('Motivos detalle'!$B:$B,$B128)</f>
        <v>XLC</v>
      </c>
      <c r="D128" s="17" cm="1">
        <f t="array" ref="D128">INDEX('Motivos detalle'!$A:$A,$B128)</f>
        <v>45996</v>
      </c>
      <c r="E128" s="16" cm="1">
        <f t="array" ref="E128">INDEX('Motivos detalle'!$E:$E,$B128)</f>
        <v>2</v>
      </c>
      <c r="F128" s="18" cm="1">
        <f t="array" ref="F128">INDEX('Motivos detalle'!$F:$F,$B128)</f>
        <v>0.1847</v>
      </c>
      <c r="G128" s="19" cm="1">
        <f t="array" ref="G128">INDEX('Motivos detalle'!$G:$G,$B128)</f>
        <v>116.08</v>
      </c>
      <c r="H128" s="19" cm="1">
        <f t="array" ref="H128">INDEX('Motivos detalle'!$H:$H,$B128)</f>
        <v>114.99</v>
      </c>
      <c r="I128" s="18">
        <f t="shared" si="11"/>
        <v>9.479085137838128E-3</v>
      </c>
      <c r="J128" s="16" cm="1">
        <f t="array" ref="J128">IFERROR(_xlfn.AGGREGATE(15,6,ROW('Motivos detalle'!$C$2:$C$274)/(('Motivos detalle'!$C$2:$C$274="SALE")*('Motivos detalle'!$B$2:$B$274=C128)*(ROW('Motivos detalle'!$C$2:$C$274)&gt;B128)),1),"")</f>
        <v>252</v>
      </c>
      <c r="K128" s="17" cm="1">
        <f t="array" ref="K128">IF($J128="","",INDEX('Motivos detalle'!$A:$A,$J128))</f>
        <v>46038</v>
      </c>
      <c r="L128" s="19" cm="1">
        <f t="array" ref="L128">IF($J128="","",INDEX('Motivos detalle'!$G:$G,$J128))</f>
        <v>114.51</v>
      </c>
      <c r="M128" s="19" cm="1">
        <f t="array" ref="M128">IF($J128="","",INDEX('Motivos detalle'!$H:$H,$J128))</f>
        <v>114.69</v>
      </c>
      <c r="N128" s="16" t="str" cm="1">
        <f t="array" ref="N128">IF($J128="","Abierto",INDEX('Motivos detalle'!$D:$D,$J128))</f>
        <v>ruptura piso Donchian</v>
      </c>
      <c r="O128" s="16" cm="1">
        <f t="array" ref="O128">IF($J128="","",INDEX('Motivos detalle'!$E:$E,$J128))</f>
        <v>3</v>
      </c>
      <c r="P128">
        <f t="shared" si="12"/>
        <v>42</v>
      </c>
      <c r="Q128" s="14">
        <f t="shared" si="13"/>
        <v>-1.3525155065472028E-2</v>
      </c>
      <c r="R128" t="str">
        <f t="shared" si="14"/>
        <v>Perdedor</v>
      </c>
      <c r="S128" t="str">
        <f>VLOOKUP(F128,Parametros!$A$25:$B$29,2,TRUE)</f>
        <v>15% a 30%</v>
      </c>
      <c r="T128" s="14">
        <f t="shared" si="15"/>
        <v>-1.5694480774260944E-3</v>
      </c>
      <c r="U128" cm="1">
        <f t="array" ref="U128">IF(J128="","",IFERROR(_xlfn.AGGREGATE(15,6,ROW('Motivos detalle'!$C$2:$C$274)/(('Motivos detalle'!$C$2:$C$274="ENTRA")*('Motivos detalle'!$B$2:$B$274=C128)*(ROW('Motivos detalle'!$C$2:$C$274)&gt;J128)),1),""))</f>
        <v>254</v>
      </c>
      <c r="V128" s="17" cm="1">
        <f t="array" ref="V128">IF(U128="","",INDEX('Motivos detalle'!$A:$A,U128))</f>
        <v>46051</v>
      </c>
      <c r="W128">
        <f t="shared" si="16"/>
        <v>13</v>
      </c>
      <c r="X128" s="19" cm="1">
        <f t="array" ref="X128">IF(U128="","",INDEX('Motivos detalle'!$G:$G,U128))</f>
        <v>119.1</v>
      </c>
      <c r="Y128" t="str">
        <f>IF(W128="","No",IF(W128&lt;Parametros!$B$4,"Sí","No"))</f>
        <v>No</v>
      </c>
      <c r="Z128" s="14" t="str">
        <f t="shared" si="17"/>
        <v/>
      </c>
      <c r="AA128" t="str">
        <f>IF(F128&gt;Parametros!$B$7,"Sí","No")</f>
        <v>Sí</v>
      </c>
      <c r="AB128" s="15">
        <f>VLOOKUP(YEAR(D128),Parametros!$A$11:$B$21,2,FALSE)</f>
        <v>4.2000000000000003E-2</v>
      </c>
      <c r="AC128" t="str">
        <f t="shared" si="18"/>
        <v>Sí</v>
      </c>
      <c r="AD128" t="str">
        <f>IF(N128="ruptura piso Donchian",IF(T128&gt;-Parametros!$B$6,"Sí","No"),"")</f>
        <v>Sí</v>
      </c>
      <c r="AE128" s="15">
        <f>IF(J128="","",(L128*(1-Parametros!$B$32))/(G128*(1+Parametros!$B$32))-1)</f>
        <v>-1.7463178398543944E-2</v>
      </c>
      <c r="AF128" s="15">
        <f t="shared" si="19"/>
        <v>3.9380233330719161E-3</v>
      </c>
    </row>
    <row r="129" spans="1:32" x14ac:dyDescent="0.3">
      <c r="A129">
        <f t="shared" si="10"/>
        <v>126</v>
      </c>
      <c r="B129" cm="1">
        <f t="array" ref="B129">IFERROR(_xlfn.AGGREGATE(15,6,ROW('Motivos detalle'!$C$2:$C$274)/('Motivos detalle'!$C$2:$C$274="ENTRA"),A129),"")</f>
        <v>251</v>
      </c>
      <c r="C129" s="16" t="str" cm="1">
        <f t="array" ref="C129">INDEX('Motivos detalle'!$B:$B,$B129)</f>
        <v>XLI</v>
      </c>
      <c r="D129" s="17" cm="1">
        <f t="array" ref="D129">INDEX('Motivos detalle'!$A:$A,$B129)</f>
        <v>46001</v>
      </c>
      <c r="E129" s="16" cm="1">
        <f t="array" ref="E129">INDEX('Motivos detalle'!$E:$E,$B129)</f>
        <v>3</v>
      </c>
      <c r="F129" s="18" cm="1">
        <f t="array" ref="F129">INDEX('Motivos detalle'!$F:$F,$B129)</f>
        <v>0.1273</v>
      </c>
      <c r="G129" s="19" cm="1">
        <f t="array" ref="G129">INDEX('Motivos detalle'!$G:$G,$B129)</f>
        <v>154.71</v>
      </c>
      <c r="H129" s="19" cm="1">
        <f t="array" ref="H129">INDEX('Motivos detalle'!$H:$H,$B129)</f>
        <v>154.19999999999999</v>
      </c>
      <c r="I129" s="18">
        <f t="shared" si="11"/>
        <v>3.3073929961091597E-3</v>
      </c>
      <c r="J129" s="16" cm="1">
        <f t="array" ref="J129">IFERROR(_xlfn.AGGREGATE(15,6,ROW('Motivos detalle'!$C$2:$C$274)/(('Motivos detalle'!$C$2:$C$274="SALE")*('Motivos detalle'!$B$2:$B$274=C129)*(ROW('Motivos detalle'!$C$2:$C$274)&gt;B129)),1),"")</f>
        <v>260</v>
      </c>
      <c r="K129" s="17" cm="1">
        <f t="array" ref="K129">IF($J129="","",INDEX('Motivos detalle'!$A:$A,$J129))</f>
        <v>46093</v>
      </c>
      <c r="L129" s="19" cm="1">
        <f t="array" ref="L129">IF($J129="","",INDEX('Motivos detalle'!$G:$G,$J129))</f>
        <v>164.37</v>
      </c>
      <c r="M129" s="19" cm="1">
        <f t="array" ref="M129">IF($J129="","",INDEX('Motivos detalle'!$H:$H,$J129))</f>
        <v>165.3</v>
      </c>
      <c r="N129" s="16" t="str" cm="1">
        <f t="array" ref="N129">IF($J129="","Abierto",INDEX('Motivos detalle'!$D:$D,$J129))</f>
        <v>ruptura piso Donchian</v>
      </c>
      <c r="O129" s="16" cm="1">
        <f t="array" ref="O129">IF($J129="","",INDEX('Motivos detalle'!$E:$E,$J129))</f>
        <v>3</v>
      </c>
      <c r="P129">
        <f t="shared" si="12"/>
        <v>92</v>
      </c>
      <c r="Q129" s="14">
        <f t="shared" si="13"/>
        <v>6.2439402753538875E-2</v>
      </c>
      <c r="R129" t="str">
        <f t="shared" si="14"/>
        <v>Ganador</v>
      </c>
      <c r="S129" t="str">
        <f>VLOOKUP(F129,Parametros!$A$25:$B$29,2,TRUE)</f>
        <v>5% a 15%</v>
      </c>
      <c r="T129" s="14">
        <f t="shared" si="15"/>
        <v>-5.6261343012704579E-3</v>
      </c>
      <c r="U129" cm="1">
        <f t="array" ref="U129">IF(J129="","",IFERROR(_xlfn.AGGREGATE(15,6,ROW('Motivos detalle'!$C$2:$C$274)/(('Motivos detalle'!$C$2:$C$274="ENTRA")*('Motivos detalle'!$B$2:$B$274=C129)*(ROW('Motivos detalle'!$C$2:$C$274)&gt;J129)),1),""))</f>
        <v>261</v>
      </c>
      <c r="V129" s="17" cm="1">
        <f t="array" ref="V129">IF(U129="","",INDEX('Motivos detalle'!$A:$A,U129))</f>
        <v>46121</v>
      </c>
      <c r="W129">
        <f t="shared" si="16"/>
        <v>28</v>
      </c>
      <c r="X129" s="19" cm="1">
        <f t="array" ref="X129">IF(U129="","",INDEX('Motivos detalle'!$G:$G,U129))</f>
        <v>171.77</v>
      </c>
      <c r="Y129" t="str">
        <f>IF(W129="","No",IF(W129&lt;Parametros!$B$4,"Sí","No"))</f>
        <v>No</v>
      </c>
      <c r="Z129" s="14" t="str">
        <f t="shared" si="17"/>
        <v/>
      </c>
      <c r="AA129" t="str">
        <f>IF(F129&gt;Parametros!$B$7,"Sí","No")</f>
        <v>Sí</v>
      </c>
      <c r="AB129" s="15">
        <f>VLOOKUP(YEAR(D129),Parametros!$A$11:$B$21,2,FALSE)</f>
        <v>4.2000000000000003E-2</v>
      </c>
      <c r="AC129" t="str">
        <f t="shared" si="18"/>
        <v>Sí</v>
      </c>
      <c r="AD129" t="str">
        <f>IF(N129="ruptura piso Donchian",IF(T129&gt;-Parametros!$B$6,"Sí","No"),"")</f>
        <v>No</v>
      </c>
      <c r="AE129" s="15">
        <f>IF(J129="","",(L129*(1-Parametros!$B$32))/(G129*(1+Parametros!$B$32))-1)</f>
        <v>5.8198127692646429E-2</v>
      </c>
      <c r="AF129" s="15">
        <f t="shared" si="19"/>
        <v>4.2412750608924465E-3</v>
      </c>
    </row>
    <row r="130" spans="1:32" x14ac:dyDescent="0.3">
      <c r="A130">
        <f t="shared" si="10"/>
        <v>127</v>
      </c>
      <c r="B130" cm="1">
        <f t="array" ref="B130">IFERROR(_xlfn.AGGREGATE(15,6,ROW('Motivos detalle'!$C$2:$C$274)/('Motivos detalle'!$C$2:$C$274="ENTRA"),A130),"")</f>
        <v>253</v>
      </c>
      <c r="C130" s="16" t="str" cm="1">
        <f t="array" ref="C130">INDEX('Motivos detalle'!$B:$B,$B130)</f>
        <v>XLK</v>
      </c>
      <c r="D130" s="17" cm="1">
        <f t="array" ref="D130">INDEX('Motivos detalle'!$A:$A,$B130)</f>
        <v>46049</v>
      </c>
      <c r="E130" s="16" cm="1">
        <f t="array" ref="E130">INDEX('Motivos detalle'!$E:$E,$B130)</f>
        <v>1</v>
      </c>
      <c r="F130" s="18" cm="1">
        <f t="array" ref="F130">INDEX('Motivos detalle'!$F:$F,$B130)</f>
        <v>0.24510000000000001</v>
      </c>
      <c r="G130" s="19" cm="1">
        <f t="array" ref="G130">INDEX('Motivos detalle'!$G:$G,$B130)</f>
        <v>147.69</v>
      </c>
      <c r="H130" s="19" cm="1">
        <f t="array" ref="H130">INDEX('Motivos detalle'!$H:$H,$B130)</f>
        <v>147.21</v>
      </c>
      <c r="I130" s="18">
        <f t="shared" si="11"/>
        <v>3.2606480538006632E-3</v>
      </c>
      <c r="J130" s="16" cm="1">
        <f t="array" ref="J130">IFERROR(_xlfn.AGGREGATE(15,6,ROW('Motivos detalle'!$C$2:$C$274)/(('Motivos detalle'!$C$2:$C$274="SALE")*('Motivos detalle'!$B$2:$B$274=C130)*(ROW('Motivos detalle'!$C$2:$C$274)&gt;B130)),1),"")</f>
        <v>255</v>
      </c>
      <c r="K130" s="17" cm="1">
        <f t="array" ref="K130">IF($J130="","",INDEX('Motivos detalle'!$A:$A,$J130))</f>
        <v>46057</v>
      </c>
      <c r="L130" s="19" cm="1">
        <f t="array" ref="L130">IF($J130="","",INDEX('Motivos detalle'!$G:$G,$J130))</f>
        <v>137.78</v>
      </c>
      <c r="M130" s="19" cm="1">
        <f t="array" ref="M130">IF($J130="","",INDEX('Motivos detalle'!$H:$H,$J130))</f>
        <v>139.83000000000001</v>
      </c>
      <c r="N130" s="16" t="str" cm="1">
        <f t="array" ref="N130">IF($J130="","Abierto",INDEX('Motivos detalle'!$D:$D,$J130))</f>
        <v>ruptura piso Donchian</v>
      </c>
      <c r="O130" s="16" cm="1">
        <f t="array" ref="O130">IF($J130="","",INDEX('Motivos detalle'!$E:$E,$J130))</f>
        <v>3</v>
      </c>
      <c r="P130">
        <f t="shared" si="12"/>
        <v>8</v>
      </c>
      <c r="Q130" s="14">
        <f t="shared" si="13"/>
        <v>-6.710000677093908E-2</v>
      </c>
      <c r="R130" t="str">
        <f t="shared" si="14"/>
        <v>Perdedor</v>
      </c>
      <c r="S130" t="str">
        <f>VLOOKUP(F130,Parametros!$A$25:$B$29,2,TRUE)</f>
        <v>15% a 30%</v>
      </c>
      <c r="T130" s="14">
        <f t="shared" si="15"/>
        <v>-1.466065937209482E-2</v>
      </c>
      <c r="U130" cm="1">
        <f t="array" ref="U130">IF(J130="","",IFERROR(_xlfn.AGGREGATE(15,6,ROW('Motivos detalle'!$C$2:$C$274)/(('Motivos detalle'!$C$2:$C$274="ENTRA")*('Motivos detalle'!$B$2:$B$274=C130)*(ROW('Motivos detalle'!$C$2:$C$274)&gt;J130)),1),""))</f>
        <v>262</v>
      </c>
      <c r="V130" s="17" cm="1">
        <f t="array" ref="V130">IF(U130="","",INDEX('Motivos detalle'!$A:$A,U130))</f>
        <v>46125</v>
      </c>
      <c r="W130">
        <f t="shared" si="16"/>
        <v>68</v>
      </c>
      <c r="X130" s="19" cm="1">
        <f t="array" ref="X130">IF(U130="","",INDEX('Motivos detalle'!$G:$G,U130))</f>
        <v>145.44</v>
      </c>
      <c r="Y130" t="str">
        <f>IF(W130="","No",IF(W130&lt;Parametros!$B$4,"Sí","No"))</f>
        <v>No</v>
      </c>
      <c r="Z130" s="14" t="str">
        <f t="shared" si="17"/>
        <v/>
      </c>
      <c r="AA130" t="str">
        <f>IF(F130&gt;Parametros!$B$7,"Sí","No")</f>
        <v>Sí</v>
      </c>
      <c r="AB130" s="15">
        <f>VLOOKUP(YEAR(D130),Parametros!$A$11:$B$21,2,FALSE)</f>
        <v>3.6999999999999998E-2</v>
      </c>
      <c r="AC130" t="str">
        <f t="shared" si="18"/>
        <v>Sí</v>
      </c>
      <c r="AD130" t="str">
        <f>IF(N130="ruptura piso Donchian",IF(T130&gt;-Parametros!$B$6,"Sí","No"),"")</f>
        <v>No</v>
      </c>
      <c r="AE130" s="15">
        <f>IF(J130="","",(L130*(1-Parametros!$B$32))/(G130*(1+Parametros!$B$32))-1)</f>
        <v>-7.0824158440516261E-2</v>
      </c>
      <c r="AF130" s="15">
        <f t="shared" si="19"/>
        <v>3.7241516695771804E-3</v>
      </c>
    </row>
    <row r="131" spans="1:32" x14ac:dyDescent="0.3">
      <c r="A131">
        <f t="shared" si="10"/>
        <v>128</v>
      </c>
      <c r="B131" cm="1">
        <f t="array" ref="B131">IFERROR(_xlfn.AGGREGATE(15,6,ROW('Motivos detalle'!$C$2:$C$274)/('Motivos detalle'!$C$2:$C$274="ENTRA"),A131),"")</f>
        <v>254</v>
      </c>
      <c r="C131" s="16" t="str" cm="1">
        <f t="array" ref="C131">INDEX('Motivos detalle'!$B:$B,$B131)</f>
        <v>XLC</v>
      </c>
      <c r="D131" s="17" cm="1">
        <f t="array" ref="D131">INDEX('Motivos detalle'!$A:$A,$B131)</f>
        <v>46051</v>
      </c>
      <c r="E131" s="16" cm="1">
        <f t="array" ref="E131">INDEX('Motivos detalle'!$E:$E,$B131)</f>
        <v>3</v>
      </c>
      <c r="F131" s="18" cm="1">
        <f t="array" ref="F131">INDEX('Motivos detalle'!$F:$F,$B131)</f>
        <v>0.19550000000000001</v>
      </c>
      <c r="G131" s="19" cm="1">
        <f t="array" ref="G131">INDEX('Motivos detalle'!$G:$G,$B131)</f>
        <v>119.1</v>
      </c>
      <c r="H131" s="19" cm="1">
        <f t="array" ref="H131">INDEX('Motivos detalle'!$H:$H,$B131)</f>
        <v>117.99</v>
      </c>
      <c r="I131" s="18">
        <f t="shared" si="11"/>
        <v>9.4075769132977438E-3</v>
      </c>
      <c r="J131" s="16" cm="1">
        <f t="array" ref="J131">IFERROR(_xlfn.AGGREGATE(15,6,ROW('Motivos detalle'!$C$2:$C$274)/(('Motivos detalle'!$C$2:$C$274="SALE")*('Motivos detalle'!$B$2:$B$274=C131)*(ROW('Motivos detalle'!$C$2:$C$274)&gt;B131)),1),"")</f>
        <v>257</v>
      </c>
      <c r="K131" s="17" cm="1">
        <f t="array" ref="K131">IF($J131="","",INDEX('Motivos detalle'!$A:$A,$J131))</f>
        <v>46058</v>
      </c>
      <c r="L131" s="19" cm="1">
        <f t="array" ref="L131">IF($J131="","",INDEX('Motivos detalle'!$G:$G,$J131))</f>
        <v>115.54</v>
      </c>
      <c r="M131" s="19" cm="1">
        <f t="array" ref="M131">IF($J131="","",INDEX('Motivos detalle'!$H:$H,$J131))</f>
        <v>112.53</v>
      </c>
      <c r="N131" s="16" t="str" cm="1">
        <f t="array" ref="N131">IF($J131="","Abierto",INDEX('Motivos detalle'!$D:$D,$J131))</f>
        <v>cae del ranking (&gt;#5)</v>
      </c>
      <c r="O131" s="16" cm="1">
        <f t="array" ref="O131">IF($J131="","",INDEX('Motivos detalle'!$E:$E,$J131))</f>
        <v>6</v>
      </c>
      <c r="P131">
        <f t="shared" si="12"/>
        <v>7</v>
      </c>
      <c r="Q131" s="14">
        <f t="shared" si="13"/>
        <v>-2.9890848026868033E-2</v>
      </c>
      <c r="R131" t="str">
        <f t="shared" si="14"/>
        <v>Perdedor</v>
      </c>
      <c r="S131" t="str">
        <f>VLOOKUP(F131,Parametros!$A$25:$B$29,2,TRUE)</f>
        <v>15% a 30%</v>
      </c>
      <c r="T131" s="14" t="str">
        <f t="shared" si="15"/>
        <v/>
      </c>
      <c r="U131" t="str" cm="1">
        <f t="array" ref="U131">IF(J131="","",IFERROR(_xlfn.AGGREGATE(15,6,ROW('Motivos detalle'!$C$2:$C$274)/(('Motivos detalle'!$C$2:$C$274="ENTRA")*('Motivos detalle'!$B$2:$B$274=C131)*(ROW('Motivos detalle'!$C$2:$C$274)&gt;J131)),1),""))</f>
        <v/>
      </c>
      <c r="V131" s="17" t="str" cm="1">
        <f t="array" ref="V131">IF(U131="","",INDEX('Motivos detalle'!$A:$A,U131))</f>
        <v/>
      </c>
      <c r="W131" t="str">
        <f t="shared" si="16"/>
        <v/>
      </c>
      <c r="X131" s="19" t="str" cm="1">
        <f t="array" ref="X131">IF(U131="","",INDEX('Motivos detalle'!$G:$G,U131))</f>
        <v/>
      </c>
      <c r="Y131" t="str">
        <f>IF(W131="","No",IF(W131&lt;Parametros!$B$4,"Sí","No"))</f>
        <v>No</v>
      </c>
      <c r="Z131" s="14" t="str">
        <f t="shared" si="17"/>
        <v/>
      </c>
      <c r="AA131" t="str">
        <f>IF(F131&gt;Parametros!$B$7,"Sí","No")</f>
        <v>Sí</v>
      </c>
      <c r="AB131" s="15">
        <f>VLOOKUP(YEAR(D131),Parametros!$A$11:$B$21,2,FALSE)</f>
        <v>3.6999999999999998E-2</v>
      </c>
      <c r="AC131" t="str">
        <f t="shared" si="18"/>
        <v>Sí</v>
      </c>
      <c r="AD131" t="str">
        <f>IF(N131="ruptura piso Donchian",IF(T131&gt;-Parametros!$B$6,"Sí","No"),"")</f>
        <v/>
      </c>
      <c r="AE131" s="15">
        <f>IF(J131="","",(L131*(1-Parametros!$B$32))/(G131*(1+Parametros!$B$32))-1)</f>
        <v>-3.3763539252309793E-2</v>
      </c>
      <c r="AF131" s="15">
        <f t="shared" si="19"/>
        <v>3.87269122544176E-3</v>
      </c>
    </row>
    <row r="132" spans="1:32" x14ac:dyDescent="0.3">
      <c r="A132">
        <f t="shared" si="10"/>
        <v>129</v>
      </c>
      <c r="B132" cm="1">
        <f t="array" ref="B132">IFERROR(_xlfn.AGGREGATE(15,6,ROW('Motivos detalle'!$C$2:$C$274)/('Motivos detalle'!$C$2:$C$274="ENTRA"),A132),"")</f>
        <v>256</v>
      </c>
      <c r="C132" s="16" t="str" cm="1">
        <f t="array" ref="C132">INDEX('Motivos detalle'!$B:$B,$B132)</f>
        <v>XLE</v>
      </c>
      <c r="D132" s="17" cm="1">
        <f t="array" ref="D132">INDEX('Motivos detalle'!$A:$A,$B132)</f>
        <v>46057</v>
      </c>
      <c r="E132" s="16" cm="1">
        <f t="array" ref="E132">INDEX('Motivos detalle'!$E:$E,$B132)</f>
        <v>2</v>
      </c>
      <c r="F132" s="18" cm="1">
        <f t="array" ref="F132">INDEX('Motivos detalle'!$F:$F,$B132)</f>
        <v>0.23810000000000001</v>
      </c>
      <c r="G132" s="19" cm="1">
        <f t="array" ref="G132">INDEX('Motivos detalle'!$G:$G,$B132)</f>
        <v>52.11</v>
      </c>
      <c r="H132" s="19" cm="1">
        <f t="array" ref="H132">INDEX('Motivos detalle'!$H:$H,$B132)</f>
        <v>51.08</v>
      </c>
      <c r="I132" s="18">
        <f t="shared" si="11"/>
        <v>2.0164447924823747E-2</v>
      </c>
      <c r="J132" s="16" cm="1">
        <f t="array" ref="J132">IFERROR(_xlfn.AGGREGATE(15,6,ROW('Motivos detalle'!$C$2:$C$274)/(('Motivos detalle'!$C$2:$C$274="SALE")*('Motivos detalle'!$B$2:$B$274=C132)*(ROW('Motivos detalle'!$C$2:$C$274)&gt;B132)),1),"")</f>
        <v>263</v>
      </c>
      <c r="K132" s="17" cm="1">
        <f t="array" ref="K132">IF($J132="","",INDEX('Motivos detalle'!$A:$A,$J132))</f>
        <v>46126</v>
      </c>
      <c r="L132" s="19" cm="1">
        <f t="array" ref="L132">IF($J132="","",INDEX('Motivos detalle'!$G:$G,$J132))</f>
        <v>55.55</v>
      </c>
      <c r="M132" s="19" cm="1">
        <f t="array" ref="M132">IF($J132="","",INDEX('Motivos detalle'!$H:$H,$J132))</f>
        <v>55.78</v>
      </c>
      <c r="N132" s="16" t="str" cm="1">
        <f t="array" ref="N132">IF($J132="","Abierto",INDEX('Motivos detalle'!$D:$D,$J132))</f>
        <v>ruptura piso Donchian</v>
      </c>
      <c r="O132" s="16" cm="1">
        <f t="array" ref="O132">IF($J132="","",INDEX('Motivos detalle'!$E:$E,$J132))</f>
        <v>2</v>
      </c>
      <c r="P132">
        <f t="shared" si="12"/>
        <v>69</v>
      </c>
      <c r="Q132" s="14">
        <f t="shared" si="13"/>
        <v>6.6014200729226591E-2</v>
      </c>
      <c r="R132" t="str">
        <f t="shared" si="14"/>
        <v>Ganador</v>
      </c>
      <c r="S132" t="str">
        <f>VLOOKUP(F132,Parametros!$A$25:$B$29,2,TRUE)</f>
        <v>15% a 30%</v>
      </c>
      <c r="T132" s="14">
        <f t="shared" si="15"/>
        <v>-4.1233416995339889E-3</v>
      </c>
      <c r="U132" cm="1">
        <f t="array" ref="U132">IF(J132="","",IFERROR(_xlfn.AGGREGATE(15,6,ROW('Motivos detalle'!$C$2:$C$274)/(('Motivos detalle'!$C$2:$C$274="ENTRA")*('Motivos detalle'!$B$2:$B$274=C132)*(ROW('Motivos detalle'!$C$2:$C$274)&gt;J132)),1),""))</f>
        <v>264</v>
      </c>
      <c r="V132" s="17" cm="1">
        <f t="array" ref="V132">IF(U132="","",INDEX('Motivos detalle'!$A:$A,U132))</f>
        <v>46160</v>
      </c>
      <c r="W132">
        <f t="shared" si="16"/>
        <v>34</v>
      </c>
      <c r="X132" s="19" cm="1">
        <f t="array" ref="X132">IF(U132="","",INDEX('Motivos detalle'!$G:$G,U132))</f>
        <v>60.15</v>
      </c>
      <c r="Y132" t="str">
        <f>IF(W132="","No",IF(W132&lt;Parametros!$B$4,"Sí","No"))</f>
        <v>No</v>
      </c>
      <c r="Z132" s="14" t="str">
        <f t="shared" si="17"/>
        <v/>
      </c>
      <c r="AA132" t="str">
        <f>IF(F132&gt;Parametros!$B$7,"Sí","No")</f>
        <v>Sí</v>
      </c>
      <c r="AB132" s="15">
        <f>VLOOKUP(YEAR(D132),Parametros!$A$11:$B$21,2,FALSE)</f>
        <v>3.6999999999999998E-2</v>
      </c>
      <c r="AC132" t="str">
        <f t="shared" si="18"/>
        <v>Sí</v>
      </c>
      <c r="AD132" t="str">
        <f>IF(N132="ruptura piso Donchian",IF(T132&gt;-Parametros!$B$6,"Sí","No"),"")</f>
        <v>No</v>
      </c>
      <c r="AE132" s="15">
        <f>IF(J132="","",(L132*(1-Parametros!$B$32))/(G132*(1+Parametros!$B$32))-1)</f>
        <v>6.17586550177327E-2</v>
      </c>
      <c r="AF132" s="15">
        <f t="shared" si="19"/>
        <v>4.255545711493891E-3</v>
      </c>
    </row>
    <row r="133" spans="1:32" x14ac:dyDescent="0.3">
      <c r="A133">
        <f t="shared" ref="A133:A140" si="20">ROW()-3</f>
        <v>130</v>
      </c>
      <c r="B133" cm="1">
        <f t="array" ref="B133">IFERROR(_xlfn.AGGREGATE(15,6,ROW('Motivos detalle'!$C$2:$C$274)/('Motivos detalle'!$C$2:$C$274="ENTRA"),A133),"")</f>
        <v>258</v>
      </c>
      <c r="C133" s="16" t="str" cm="1">
        <f t="array" ref="C133">INDEX('Motivos detalle'!$B:$B,$B133)</f>
        <v>XLB</v>
      </c>
      <c r="D133" s="17" cm="1">
        <f t="array" ref="D133">INDEX('Motivos detalle'!$A:$A,$B133)</f>
        <v>46064</v>
      </c>
      <c r="E133" s="16" cm="1">
        <f t="array" ref="E133">INDEX('Motivos detalle'!$E:$E,$B133)</f>
        <v>3</v>
      </c>
      <c r="F133" s="18" cm="1">
        <f t="array" ref="F133">INDEX('Motivos detalle'!$F:$F,$B133)</f>
        <v>0.23250000000000001</v>
      </c>
      <c r="G133" s="19" cm="1">
        <f t="array" ref="G133">INDEX('Motivos detalle'!$G:$G,$B133)</f>
        <v>53.18</v>
      </c>
      <c r="H133" s="19" cm="1">
        <f t="array" ref="H133">INDEX('Motivos detalle'!$H:$H,$B133)</f>
        <v>52.56</v>
      </c>
      <c r="I133" s="18">
        <f t="shared" ref="I133:I140" si="21">G133/H133-1</f>
        <v>1.1796042617960412E-2</v>
      </c>
      <c r="J133" s="16" cm="1">
        <f t="array" ref="J133">IFERROR(_xlfn.AGGREGATE(15,6,ROW('Motivos detalle'!$C$2:$C$274)/(('Motivos detalle'!$C$2:$C$274="SALE")*('Motivos detalle'!$B$2:$B$274=C133)*(ROW('Motivos detalle'!$C$2:$C$274)&gt;B133)),1),"")</f>
        <v>259</v>
      </c>
      <c r="K133" s="17" cm="1">
        <f t="array" ref="K133">IF($J133="","",INDEX('Motivos detalle'!$A:$A,$J133))</f>
        <v>46087</v>
      </c>
      <c r="L133" s="19" cm="1">
        <f t="array" ref="L133">IF($J133="","",INDEX('Motivos detalle'!$G:$G,$J133))</f>
        <v>49.45</v>
      </c>
      <c r="M133" s="19" cm="1">
        <f t="array" ref="M133">IF($J133="","",INDEX('Motivos detalle'!$H:$H,$J133))</f>
        <v>49.95</v>
      </c>
      <c r="N133" s="16" t="str" cm="1">
        <f t="array" ref="N133">IF($J133="","Abierto",INDEX('Motivos detalle'!$D:$D,$J133))</f>
        <v>ruptura piso Donchian + cae del ranking (&gt;#5)</v>
      </c>
      <c r="O133" s="16" cm="1">
        <f t="array" ref="O133">IF($J133="","",INDEX('Motivos detalle'!$E:$E,$J133))</f>
        <v>6</v>
      </c>
      <c r="P133">
        <f t="shared" ref="P133:P140" si="22">IF(J133="","",K133-D133)</f>
        <v>23</v>
      </c>
      <c r="Q133" s="14">
        <f t="shared" ref="Q133:Q140" si="23">IF(J133="","",L133/G133-1)</f>
        <v>-7.0139150056412136E-2</v>
      </c>
      <c r="R133" t="str">
        <f t="shared" ref="R133:R140" si="24">IF(J133="","Abierto",IF(Q133&gt;0,"Ganador","Perdedor"))</f>
        <v>Perdedor</v>
      </c>
      <c r="S133" t="str">
        <f>VLOOKUP(F133,Parametros!$A$25:$B$29,2,TRUE)</f>
        <v>15% a 30%</v>
      </c>
      <c r="T133" s="14">
        <f t="shared" ref="T133:T140" si="25">IF(ISNUMBER(SEARCH("piso",N133)),L133/M133-1,"")</f>
        <v>-1.0010010010010006E-2</v>
      </c>
      <c r="U133" t="str" cm="1">
        <f t="array" ref="U133">IF(J133="","",IFERROR(_xlfn.AGGREGATE(15,6,ROW('Motivos detalle'!$C$2:$C$274)/(('Motivos detalle'!$C$2:$C$274="ENTRA")*('Motivos detalle'!$B$2:$B$274=C133)*(ROW('Motivos detalle'!$C$2:$C$274)&gt;J133)),1),""))</f>
        <v/>
      </c>
      <c r="V133" s="17" t="str" cm="1">
        <f t="array" ref="V133">IF(U133="","",INDEX('Motivos detalle'!$A:$A,U133))</f>
        <v/>
      </c>
      <c r="W133" t="str">
        <f t="shared" ref="W133:W140" si="26">IF(V133="","",V133-K133)</f>
        <v/>
      </c>
      <c r="X133" s="19" t="str" cm="1">
        <f t="array" ref="X133">IF(U133="","",INDEX('Motivos detalle'!$G:$G,U133))</f>
        <v/>
      </c>
      <c r="Y133" t="str">
        <f>IF(W133="","No",IF(W133&lt;Parametros!$B$4,"Sí","No"))</f>
        <v>No</v>
      </c>
      <c r="Z133" s="14" t="str">
        <f t="shared" ref="Z133:Z140" si="27">IF(Y133="Sí",X133/L133-1,"")</f>
        <v/>
      </c>
      <c r="AA133" t="str">
        <f>IF(F133&gt;Parametros!$B$7,"Sí","No")</f>
        <v>Sí</v>
      </c>
      <c r="AB133" s="15">
        <f>VLOOKUP(YEAR(D133),Parametros!$A$11:$B$21,2,FALSE)</f>
        <v>3.6999999999999998E-2</v>
      </c>
      <c r="AC133" t="str">
        <f t="shared" ref="AC133:AC140" si="28">IF(F133&gt;AB133,"Sí","No")</f>
        <v>Sí</v>
      </c>
      <c r="AD133" t="str">
        <f>IF(N133="ruptura piso Donchian",IF(T133&gt;-Parametros!$B$6,"Sí","No"),"")</f>
        <v/>
      </c>
      <c r="AE133" s="15">
        <f>IF(J133="","",(L133*(1-Parametros!$B$32))/(G133*(1+Parametros!$B$32))-1)</f>
        <v>-7.3851169417464391E-2</v>
      </c>
      <c r="AF133" s="15">
        <f t="shared" ref="AF133:AF140" si="29">IF(J133="","",Q133-AE133)</f>
        <v>3.7120193610522545E-3</v>
      </c>
    </row>
    <row r="134" spans="1:32" x14ac:dyDescent="0.3">
      <c r="A134">
        <f t="shared" si="20"/>
        <v>131</v>
      </c>
      <c r="B134" cm="1">
        <f t="array" ref="B134">IFERROR(_xlfn.AGGREGATE(15,6,ROW('Motivos detalle'!$C$2:$C$274)/('Motivos detalle'!$C$2:$C$274="ENTRA"),A134),"")</f>
        <v>261</v>
      </c>
      <c r="C134" s="16" t="str" cm="1">
        <f t="array" ref="C134">INDEX('Motivos detalle'!$B:$B,$B134)</f>
        <v>XLI</v>
      </c>
      <c r="D134" s="17" cm="1">
        <f t="array" ref="D134">INDEX('Motivos detalle'!$A:$A,$B134)</f>
        <v>46121</v>
      </c>
      <c r="E134" s="16" cm="1">
        <f t="array" ref="E134">INDEX('Motivos detalle'!$E:$E,$B134)</f>
        <v>3</v>
      </c>
      <c r="F134" s="18" cm="1">
        <f t="array" ref="F134">INDEX('Motivos detalle'!$F:$F,$B134)</f>
        <v>0.48659999999999998</v>
      </c>
      <c r="G134" s="19" cm="1">
        <f t="array" ref="G134">INDEX('Motivos detalle'!$G:$G,$B134)</f>
        <v>171.77</v>
      </c>
      <c r="H134" s="19" cm="1">
        <f t="array" ref="H134">INDEX('Motivos detalle'!$H:$H,$B134)</f>
        <v>170.64</v>
      </c>
      <c r="I134" s="18">
        <f t="shared" si="21"/>
        <v>6.6221284575715966E-3</v>
      </c>
      <c r="J134" s="16" cm="1">
        <f t="array" ref="J134">IFERROR(_xlfn.AGGREGATE(15,6,ROW('Motivos detalle'!$C$2:$C$274)/(('Motivos detalle'!$C$2:$C$274="SALE")*('Motivos detalle'!$B$2:$B$274=C134)*(ROW('Motivos detalle'!$C$2:$C$274)&gt;B134)),1),"")</f>
        <v>265</v>
      </c>
      <c r="K134" s="17" cm="1">
        <f t="array" ref="K134">IF($J134="","",INDEX('Motivos detalle'!$A:$A,$J134))</f>
        <v>46161</v>
      </c>
      <c r="L134" s="19" cm="1">
        <f t="array" ref="L134">IF($J134="","",INDEX('Motivos detalle'!$G:$G,$J134))</f>
        <v>168.33</v>
      </c>
      <c r="M134" s="19" cm="1">
        <f t="array" ref="M134">IF($J134="","",INDEX('Motivos detalle'!$H:$H,$J134))</f>
        <v>168.81</v>
      </c>
      <c r="N134" s="16" t="str" cm="1">
        <f t="array" ref="N134">IF($J134="","Abierto",INDEX('Motivos detalle'!$D:$D,$J134))</f>
        <v>ruptura piso Donchian</v>
      </c>
      <c r="O134" s="16" cm="1">
        <f t="array" ref="O134">IF($J134="","",INDEX('Motivos detalle'!$E:$E,$J134))</f>
        <v>3</v>
      </c>
      <c r="P134">
        <f t="shared" si="22"/>
        <v>40</v>
      </c>
      <c r="Q134" s="14">
        <f t="shared" si="23"/>
        <v>-2.0026779996506927E-2</v>
      </c>
      <c r="R134" t="str">
        <f t="shared" si="24"/>
        <v>Perdedor</v>
      </c>
      <c r="S134" t="str">
        <f>VLOOKUP(F134,Parametros!$A$25:$B$29,2,TRUE)</f>
        <v>Más de 30%</v>
      </c>
      <c r="T134" s="14">
        <f t="shared" si="25"/>
        <v>-2.8434334458858901E-3</v>
      </c>
      <c r="U134" cm="1">
        <f t="array" ref="U134">IF(J134="","",IFERROR(_xlfn.AGGREGATE(15,6,ROW('Motivos detalle'!$C$2:$C$274)/(('Motivos detalle'!$C$2:$C$274="ENTRA")*('Motivos detalle'!$B$2:$B$274=C134)*(ROW('Motivos detalle'!$C$2:$C$274)&gt;J134)),1),""))</f>
        <v>267</v>
      </c>
      <c r="V134" s="17" cm="1">
        <f t="array" ref="V134">IF(U134="","",INDEX('Motivos detalle'!$A:$A,U134))</f>
        <v>46188</v>
      </c>
      <c r="W134">
        <f t="shared" si="26"/>
        <v>27</v>
      </c>
      <c r="X134" s="19" cm="1">
        <f t="array" ref="X134">IF(U134="","",INDEX('Motivos detalle'!$G:$G,U134))</f>
        <v>178.24</v>
      </c>
      <c r="Y134" t="str">
        <f>IF(W134="","No",IF(W134&lt;Parametros!$B$4,"Sí","No"))</f>
        <v>No</v>
      </c>
      <c r="Z134" s="14" t="str">
        <f t="shared" si="27"/>
        <v/>
      </c>
      <c r="AA134" t="str">
        <f>IF(F134&gt;Parametros!$B$7,"Sí","No")</f>
        <v>Sí</v>
      </c>
      <c r="AB134" s="15">
        <f>VLOOKUP(YEAR(D134),Parametros!$A$11:$B$21,2,FALSE)</f>
        <v>3.6999999999999998E-2</v>
      </c>
      <c r="AC134" t="str">
        <f t="shared" si="28"/>
        <v>Sí</v>
      </c>
      <c r="AD134" t="str">
        <f>IF(N134="ruptura piso Donchian",IF(T134&gt;-Parametros!$B$6,"Sí","No"),"")</f>
        <v>Sí</v>
      </c>
      <c r="AE134" s="15">
        <f>IF(J134="","",(L134*(1-Parametros!$B$32))/(G134*(1+Parametros!$B$32))-1)</f>
        <v>-2.3938848739035734E-2</v>
      </c>
      <c r="AF134" s="15">
        <f t="shared" si="29"/>
        <v>3.912068742528807E-3</v>
      </c>
    </row>
    <row r="135" spans="1:32" x14ac:dyDescent="0.3">
      <c r="A135">
        <f t="shared" si="20"/>
        <v>132</v>
      </c>
      <c r="B135" cm="1">
        <f t="array" ref="B135">IFERROR(_xlfn.AGGREGATE(15,6,ROW('Motivos detalle'!$C$2:$C$274)/('Motivos detalle'!$C$2:$C$274="ENTRA"),A135),"")</f>
        <v>262</v>
      </c>
      <c r="C135" s="16" t="str" cm="1">
        <f t="array" ref="C135">INDEX('Motivos detalle'!$B:$B,$B135)</f>
        <v>XLK</v>
      </c>
      <c r="D135" s="17" cm="1">
        <f t="array" ref="D135">INDEX('Motivos detalle'!$A:$A,$B135)</f>
        <v>46125</v>
      </c>
      <c r="E135" s="16" cm="1">
        <f t="array" ref="E135">INDEX('Motivos detalle'!$E:$E,$B135)</f>
        <v>1</v>
      </c>
      <c r="F135" s="18" cm="1">
        <f t="array" ref="F135">INDEX('Motivos detalle'!$F:$F,$B135)</f>
        <v>0.43669999999999998</v>
      </c>
      <c r="G135" s="19" cm="1">
        <f t="array" ref="G135">INDEX('Motivos detalle'!$G:$G,$B135)</f>
        <v>145.44</v>
      </c>
      <c r="H135" s="19" cm="1">
        <f t="array" ref="H135">INDEX('Motivos detalle'!$H:$H,$B135)</f>
        <v>143.38999999999999</v>
      </c>
      <c r="I135" s="18">
        <f t="shared" si="21"/>
        <v>1.4296673408187521E-2</v>
      </c>
      <c r="J135" s="16" cm="1">
        <f t="array" ref="J135">IFERROR(_xlfn.AGGREGATE(15,6,ROW('Motivos detalle'!$C$2:$C$274)/(('Motivos detalle'!$C$2:$C$274="SALE")*('Motivos detalle'!$B$2:$B$274=C135)*(ROW('Motivos detalle'!$C$2:$C$274)&gt;B135)),1),"")</f>
        <v>268</v>
      </c>
      <c r="K135" s="17" cm="1">
        <f t="array" ref="K135">IF($J135="","",INDEX('Motivos detalle'!$A:$A,$J135))</f>
        <v>46220</v>
      </c>
      <c r="L135" s="19" cm="1">
        <f t="array" ref="L135">IF($J135="","",INDEX('Motivos detalle'!$G:$G,$J135))</f>
        <v>175.59</v>
      </c>
      <c r="M135" s="19" cm="1">
        <f t="array" ref="M135">IF($J135="","",INDEX('Motivos detalle'!$H:$H,$J135))</f>
        <v>176.36</v>
      </c>
      <c r="N135" s="16" t="str" cm="1">
        <f t="array" ref="N135">IF($J135="","Abierto",INDEX('Motivos detalle'!$D:$D,$J135))</f>
        <v>ruptura piso Donchian</v>
      </c>
      <c r="O135" s="16" cm="1">
        <f t="array" ref="O135">IF($J135="","",INDEX('Motivos detalle'!$E:$E,$J135))</f>
        <v>2</v>
      </c>
      <c r="P135">
        <f t="shared" si="22"/>
        <v>95</v>
      </c>
      <c r="Q135" s="14">
        <f t="shared" si="23"/>
        <v>0.20730198019801982</v>
      </c>
      <c r="R135" t="str">
        <f t="shared" si="24"/>
        <v>Ganador</v>
      </c>
      <c r="S135" t="str">
        <f>VLOOKUP(F135,Parametros!$A$25:$B$29,2,TRUE)</f>
        <v>Más de 30%</v>
      </c>
      <c r="T135" s="14">
        <f t="shared" si="25"/>
        <v>-4.3660694034929337E-3</v>
      </c>
      <c r="U135" t="str" cm="1">
        <f t="array" ref="U135">IF(J135="","",IFERROR(_xlfn.AGGREGATE(15,6,ROW('Motivos detalle'!$C$2:$C$274)/(('Motivos detalle'!$C$2:$C$274="ENTRA")*('Motivos detalle'!$B$2:$B$274=C135)*(ROW('Motivos detalle'!$C$2:$C$274)&gt;J135)),1),""))</f>
        <v/>
      </c>
      <c r="V135" s="17" t="str" cm="1">
        <f t="array" ref="V135">IF(U135="","",INDEX('Motivos detalle'!$A:$A,U135))</f>
        <v/>
      </c>
      <c r="W135" t="str">
        <f t="shared" si="26"/>
        <v/>
      </c>
      <c r="X135" s="19" t="str" cm="1">
        <f t="array" ref="X135">IF(U135="","",INDEX('Motivos detalle'!$G:$G,U135))</f>
        <v/>
      </c>
      <c r="Y135" t="str">
        <f>IF(W135="","No",IF(W135&lt;Parametros!$B$4,"Sí","No"))</f>
        <v>No</v>
      </c>
      <c r="Z135" s="14" t="str">
        <f t="shared" si="27"/>
        <v/>
      </c>
      <c r="AA135" t="str">
        <f>IF(F135&gt;Parametros!$B$7,"Sí","No")</f>
        <v>Sí</v>
      </c>
      <c r="AB135" s="15">
        <f>VLOOKUP(YEAR(D135),Parametros!$A$11:$B$21,2,FALSE)</f>
        <v>3.6999999999999998E-2</v>
      </c>
      <c r="AC135" t="str">
        <f t="shared" si="28"/>
        <v>Sí</v>
      </c>
      <c r="AD135" t="str">
        <f>IF(N135="ruptura piso Donchian",IF(T135&gt;-Parametros!$B$6,"Sí","No"),"")</f>
        <v>No</v>
      </c>
      <c r="AE135" s="15">
        <f>IF(J135="","",(L135*(1-Parametros!$B$32))/(G135*(1+Parametros!$B$32))-1)</f>
        <v>0.20248241141479428</v>
      </c>
      <c r="AF135" s="15">
        <f t="shared" si="29"/>
        <v>4.8195687832255363E-3</v>
      </c>
    </row>
    <row r="136" spans="1:32" x14ac:dyDescent="0.3">
      <c r="A136">
        <f t="shared" si="20"/>
        <v>133</v>
      </c>
      <c r="B136" cm="1">
        <f t="array" ref="B136">IFERROR(_xlfn.AGGREGATE(15,6,ROW('Motivos detalle'!$C$2:$C$274)/('Motivos detalle'!$C$2:$C$274="ENTRA"),A136),"")</f>
        <v>264</v>
      </c>
      <c r="C136" s="16" t="str" cm="1">
        <f t="array" ref="C136">INDEX('Motivos detalle'!$B:$B,$B136)</f>
        <v>XLE</v>
      </c>
      <c r="D136" s="17" cm="1">
        <f t="array" ref="D136">INDEX('Motivos detalle'!$A:$A,$B136)</f>
        <v>46160</v>
      </c>
      <c r="E136" s="16" cm="1">
        <f t="array" ref="E136">INDEX('Motivos detalle'!$E:$E,$B136)</f>
        <v>2</v>
      </c>
      <c r="F136" s="18" cm="1">
        <f t="array" ref="F136">INDEX('Motivos detalle'!$F:$F,$B136)</f>
        <v>0.4607</v>
      </c>
      <c r="G136" s="19" cm="1">
        <f t="array" ref="G136">INDEX('Motivos detalle'!$G:$G,$B136)</f>
        <v>60.15</v>
      </c>
      <c r="H136" s="19" cm="1">
        <f t="array" ref="H136">INDEX('Motivos detalle'!$H:$H,$B136)</f>
        <v>59.41</v>
      </c>
      <c r="I136" s="18">
        <f t="shared" si="21"/>
        <v>1.2455815519272884E-2</v>
      </c>
      <c r="J136" s="16" cm="1">
        <f t="array" ref="J136">IFERROR(_xlfn.AGGREGATE(15,6,ROW('Motivos detalle'!$C$2:$C$274)/(('Motivos detalle'!$C$2:$C$274="SALE")*('Motivos detalle'!$B$2:$B$274=C136)*(ROW('Motivos detalle'!$C$2:$C$274)&gt;B136)),1),"")</f>
        <v>266</v>
      </c>
      <c r="K136" s="17" cm="1">
        <f t="array" ref="K136">IF($J136="","",INDEX('Motivos detalle'!$A:$A,$J136))</f>
        <v>46188</v>
      </c>
      <c r="L136" s="19" cm="1">
        <f t="array" ref="L136">IF($J136="","",INDEX('Motivos detalle'!$G:$G,$J136))</f>
        <v>55.15</v>
      </c>
      <c r="M136" s="19" cm="1">
        <f t="array" ref="M136">IF($J136="","",INDEX('Motivos detalle'!$H:$H,$J136))</f>
        <v>55.59</v>
      </c>
      <c r="N136" s="16" t="str" cm="1">
        <f t="array" ref="N136">IF($J136="","Abierto",INDEX('Motivos detalle'!$D:$D,$J136))</f>
        <v>ruptura piso Donchian</v>
      </c>
      <c r="O136" s="16" cm="1">
        <f t="array" ref="O136">IF($J136="","",INDEX('Motivos detalle'!$E:$E,$J136))</f>
        <v>2</v>
      </c>
      <c r="P136">
        <f t="shared" si="22"/>
        <v>28</v>
      </c>
      <c r="Q136" s="14">
        <f t="shared" si="23"/>
        <v>-8.3125519534497094E-2</v>
      </c>
      <c r="R136" t="str">
        <f t="shared" si="24"/>
        <v>Perdedor</v>
      </c>
      <c r="S136" t="str">
        <f>VLOOKUP(F136,Parametros!$A$25:$B$29,2,TRUE)</f>
        <v>Más de 30%</v>
      </c>
      <c r="T136" s="14">
        <f t="shared" si="25"/>
        <v>-7.9150926425617385E-3</v>
      </c>
      <c r="U136" cm="1">
        <f t="array" ref="U136">IF(J136="","",IFERROR(_xlfn.AGGREGATE(15,6,ROW('Motivos detalle'!$C$2:$C$274)/(('Motivos detalle'!$C$2:$C$274="ENTRA")*('Motivos detalle'!$B$2:$B$274=C136)*(ROW('Motivos detalle'!$C$2:$C$274)&gt;J136)),1),""))</f>
        <v>269</v>
      </c>
      <c r="V136" s="17" cm="1">
        <f t="array" ref="V136">IF(U136="","",INDEX('Motivos detalle'!$A:$A,U136))</f>
        <v>46220</v>
      </c>
      <c r="W136">
        <f t="shared" si="26"/>
        <v>32</v>
      </c>
      <c r="X136" s="19" cm="1">
        <f t="array" ref="X136">IF(U136="","",INDEX('Motivos detalle'!$G:$G,U136))</f>
        <v>57.68</v>
      </c>
      <c r="Y136" t="str">
        <f>IF(W136="","No",IF(W136&lt;Parametros!$B$4,"Sí","No"))</f>
        <v>No</v>
      </c>
      <c r="Z136" s="14" t="str">
        <f t="shared" si="27"/>
        <v/>
      </c>
      <c r="AA136" t="str">
        <f>IF(F136&gt;Parametros!$B$7,"Sí","No")</f>
        <v>Sí</v>
      </c>
      <c r="AB136" s="15">
        <f>VLOOKUP(YEAR(D136),Parametros!$A$11:$B$21,2,FALSE)</f>
        <v>3.6999999999999998E-2</v>
      </c>
      <c r="AC136" t="str">
        <f t="shared" si="28"/>
        <v>Sí</v>
      </c>
      <c r="AD136" t="str">
        <f>IF(N136="ruptura piso Donchian",IF(T136&gt;-Parametros!$B$6,"Sí","No"),"")</f>
        <v>No</v>
      </c>
      <c r="AE136" s="15">
        <f>IF(J136="","",(L136*(1-Parametros!$B$32))/(G136*(1+Parametros!$B$32))-1)</f>
        <v>-8.6785697101225745E-2</v>
      </c>
      <c r="AF136" s="15">
        <f t="shared" si="29"/>
        <v>3.6601775667286507E-3</v>
      </c>
    </row>
    <row r="137" spans="1:32" x14ac:dyDescent="0.3">
      <c r="A137">
        <f t="shared" si="20"/>
        <v>134</v>
      </c>
      <c r="B137" cm="1">
        <f t="array" ref="B137">IFERROR(_xlfn.AGGREGATE(15,6,ROW('Motivos detalle'!$C$2:$C$274)/('Motivos detalle'!$C$2:$C$274="ENTRA"),A137),"")</f>
        <v>267</v>
      </c>
      <c r="C137" s="16" t="str" cm="1">
        <f t="array" ref="C137">INDEX('Motivos detalle'!$B:$B,$B137)</f>
        <v>XLI</v>
      </c>
      <c r="D137" s="17" cm="1">
        <f t="array" ref="D137">INDEX('Motivos detalle'!$A:$A,$B137)</f>
        <v>46188</v>
      </c>
      <c r="E137" s="16" cm="1">
        <f t="array" ref="E137">INDEX('Motivos detalle'!$E:$E,$B137)</f>
        <v>3</v>
      </c>
      <c r="F137" s="18" cm="1">
        <f t="array" ref="F137">INDEX('Motivos detalle'!$F:$F,$B137)</f>
        <v>0.25879999999999997</v>
      </c>
      <c r="G137" s="19" cm="1">
        <f t="array" ref="G137">INDEX('Motivos detalle'!$G:$G,$B137)</f>
        <v>178.24</v>
      </c>
      <c r="H137" s="19" cm="1">
        <f t="array" ref="H137">INDEX('Motivos detalle'!$H:$H,$B137)</f>
        <v>176.18</v>
      </c>
      <c r="I137" s="18">
        <f t="shared" si="21"/>
        <v>1.1692587126802101E-2</v>
      </c>
      <c r="J137" s="16" cm="1">
        <f t="array" ref="J137">IFERROR(_xlfn.AGGREGATE(15,6,ROW('Motivos detalle'!$C$2:$C$274)/(('Motivos detalle'!$C$2:$C$274="SALE")*('Motivos detalle'!$B$2:$B$274=C137)*(ROW('Motivos detalle'!$C$2:$C$274)&gt;B137)),1),"")</f>
        <v>271</v>
      </c>
      <c r="K137" s="17" cm="1">
        <f t="array" ref="K137">IF($J137="","",INDEX('Motivos detalle'!$A:$A,$J137))</f>
        <v>46232</v>
      </c>
      <c r="L137" s="19" cm="1">
        <f t="array" ref="L137">IF($J137="","",INDEX('Motivos detalle'!$G:$G,$J137))</f>
        <v>176.66</v>
      </c>
      <c r="M137" s="19" cm="1">
        <f t="array" ref="M137">IF($J137="","",INDEX('Motivos detalle'!$H:$H,$J137))</f>
        <v>177.59</v>
      </c>
      <c r="N137" s="16" t="str" cm="1">
        <f t="array" ref="N137">IF($J137="","Abierto",INDEX('Motivos detalle'!$D:$D,$J137))</f>
        <v>ruptura piso Donchian</v>
      </c>
      <c r="O137" s="16" cm="1">
        <f t="array" ref="O137">IF($J137="","",INDEX('Motivos detalle'!$E:$E,$J137))</f>
        <v>4</v>
      </c>
      <c r="P137">
        <f t="shared" si="22"/>
        <v>44</v>
      </c>
      <c r="Q137" s="14">
        <f t="shared" si="23"/>
        <v>-8.8644524236984878E-3</v>
      </c>
      <c r="R137" t="str">
        <f t="shared" si="24"/>
        <v>Perdedor</v>
      </c>
      <c r="S137" t="str">
        <f>VLOOKUP(F137,Parametros!$A$25:$B$29,2,TRUE)</f>
        <v>15% a 30%</v>
      </c>
      <c r="T137" s="14">
        <f t="shared" si="25"/>
        <v>-5.2367813503012561E-3</v>
      </c>
      <c r="U137" cm="1">
        <f t="array" ref="U137">IF(J137="","",IFERROR(_xlfn.AGGREGATE(15,6,ROW('Motivos detalle'!$C$2:$C$274)/(('Motivos detalle'!$C$2:$C$274="ENTRA")*('Motivos detalle'!$B$2:$B$274=C137)*(ROW('Motivos detalle'!$C$2:$C$274)&gt;J137)),1),""))</f>
        <v>272</v>
      </c>
      <c r="V137" s="17" cm="1">
        <f t="array" ref="V137">IF(U137="","",INDEX('Motivos detalle'!$A:$A,U137))</f>
        <v>46238</v>
      </c>
      <c r="W137">
        <f t="shared" si="26"/>
        <v>6</v>
      </c>
      <c r="X137" s="19" cm="1">
        <f t="array" ref="X137">IF(U137="","",INDEX('Motivos detalle'!$G:$G,U137))</f>
        <v>186.4</v>
      </c>
      <c r="Y137" t="str">
        <f>IF(W137="","No",IF(W137&lt;Parametros!$B$4,"Sí","No"))</f>
        <v>Sí</v>
      </c>
      <c r="Z137" s="14">
        <f t="shared" si="27"/>
        <v>5.5134156005887114E-2</v>
      </c>
      <c r="AA137" t="str">
        <f>IF(F137&gt;Parametros!$B$7,"Sí","No")</f>
        <v>Sí</v>
      </c>
      <c r="AB137" s="15">
        <f>VLOOKUP(YEAR(D137),Parametros!$A$11:$B$21,2,FALSE)</f>
        <v>3.6999999999999998E-2</v>
      </c>
      <c r="AC137" t="str">
        <f t="shared" si="28"/>
        <v>Sí</v>
      </c>
      <c r="AD137" t="str">
        <f>IF(N137="ruptura piso Donchian",IF(T137&gt;-Parametros!$B$6,"Sí","No"),"")</f>
        <v>No</v>
      </c>
      <c r="AE137" s="15">
        <f>IF(J137="","",(L137*(1-Parametros!$B$32))/(G137*(1+Parametros!$B$32))-1)</f>
        <v>-1.2821081356138797E-2</v>
      </c>
      <c r="AF137" s="15">
        <f t="shared" si="29"/>
        <v>3.9566289324403092E-3</v>
      </c>
    </row>
    <row r="138" spans="1:32" x14ac:dyDescent="0.3">
      <c r="A138">
        <f t="shared" si="20"/>
        <v>135</v>
      </c>
      <c r="B138" cm="1">
        <f t="array" ref="B138">IFERROR(_xlfn.AGGREGATE(15,6,ROW('Motivos detalle'!$C$2:$C$274)/('Motivos detalle'!$C$2:$C$274="ENTRA"),A138),"")</f>
        <v>269</v>
      </c>
      <c r="C138" s="16" t="str" cm="1">
        <f t="array" ref="C138">INDEX('Motivos detalle'!$B:$B,$B138)</f>
        <v>XLE</v>
      </c>
      <c r="D138" s="17" cm="1">
        <f t="array" ref="D138">INDEX('Motivos detalle'!$A:$A,$B138)</f>
        <v>46220</v>
      </c>
      <c r="E138" s="16" cm="1">
        <f t="array" ref="E138">INDEX('Motivos detalle'!$E:$E,$B138)</f>
        <v>1</v>
      </c>
      <c r="F138" s="18" cm="1">
        <f t="array" ref="F138">INDEX('Motivos detalle'!$F:$F,$B138)</f>
        <v>0.38109999999999999</v>
      </c>
      <c r="G138" s="19" cm="1">
        <f t="array" ref="G138">INDEX('Motivos detalle'!$G:$G,$B138)</f>
        <v>57.68</v>
      </c>
      <c r="H138" s="19" cm="1">
        <f t="array" ref="H138">INDEX('Motivos detalle'!$H:$H,$B138)</f>
        <v>57.3</v>
      </c>
      <c r="I138" s="18">
        <f t="shared" si="21"/>
        <v>6.6317626527050422E-3</v>
      </c>
      <c r="J138" s="16" t="str" cm="1">
        <f t="array" ref="J138">IFERROR(_xlfn.AGGREGATE(15,6,ROW('Motivos detalle'!$C$2:$C$274)/(('Motivos detalle'!$C$2:$C$274="SALE")*('Motivos detalle'!$B$2:$B$274=C138)*(ROW('Motivos detalle'!$C$2:$C$274)&gt;B138)),1),"")</f>
        <v/>
      </c>
      <c r="K138" s="17" t="str" cm="1">
        <f t="array" ref="K138">IF($J138="","",INDEX('Motivos detalle'!$A:$A,$J138))</f>
        <v/>
      </c>
      <c r="L138" s="19" t="str" cm="1">
        <f t="array" ref="L138">IF($J138="","",INDEX('Motivos detalle'!$G:$G,$J138))</f>
        <v/>
      </c>
      <c r="M138" s="19" t="str" cm="1">
        <f t="array" ref="M138">IF($J138="","",INDEX('Motivos detalle'!$H:$H,$J138))</f>
        <v/>
      </c>
      <c r="N138" s="16" t="str" cm="1">
        <f t="array" ref="N138">IF($J138="","Abierto",INDEX('Motivos detalle'!$D:$D,$J138))</f>
        <v>Abierto</v>
      </c>
      <c r="O138" s="16" t="str" cm="1">
        <f t="array" ref="O138">IF($J138="","",INDEX('Motivos detalle'!$E:$E,$J138))</f>
        <v/>
      </c>
      <c r="P138" t="str">
        <f t="shared" si="22"/>
        <v/>
      </c>
      <c r="Q138" s="14" t="str">
        <f t="shared" si="23"/>
        <v/>
      </c>
      <c r="R138" t="str">
        <f t="shared" si="24"/>
        <v>Abierto</v>
      </c>
      <c r="S138" t="str">
        <f>VLOOKUP(F138,Parametros!$A$25:$B$29,2,TRUE)</f>
        <v>Más de 30%</v>
      </c>
      <c r="T138" s="14" t="str">
        <f t="shared" si="25"/>
        <v/>
      </c>
      <c r="U138" t="str" cm="1">
        <f t="array" ref="U138">IF(J138="","",IFERROR(_xlfn.AGGREGATE(15,6,ROW('Motivos detalle'!$C$2:$C$274)/(('Motivos detalle'!$C$2:$C$274="ENTRA")*('Motivos detalle'!$B$2:$B$274=C138)*(ROW('Motivos detalle'!$C$2:$C$274)&gt;J138)),1),""))</f>
        <v/>
      </c>
      <c r="V138" s="17" t="str" cm="1">
        <f t="array" ref="V138">IF(U138="","",INDEX('Motivos detalle'!$A:$A,U138))</f>
        <v/>
      </c>
      <c r="W138" t="str">
        <f t="shared" si="26"/>
        <v/>
      </c>
      <c r="X138" s="19" t="str" cm="1">
        <f t="array" ref="X138">IF(U138="","",INDEX('Motivos detalle'!$G:$G,U138))</f>
        <v/>
      </c>
      <c r="Y138" t="str">
        <f>IF(W138="","No",IF(W138&lt;Parametros!$B$4,"Sí","No"))</f>
        <v>No</v>
      </c>
      <c r="Z138" s="14" t="str">
        <f t="shared" si="27"/>
        <v/>
      </c>
      <c r="AA138" t="str">
        <f>IF(F138&gt;Parametros!$B$7,"Sí","No")</f>
        <v>Sí</v>
      </c>
      <c r="AB138" s="15">
        <f>VLOOKUP(YEAR(D138),Parametros!$A$11:$B$21,2,FALSE)</f>
        <v>3.6999999999999998E-2</v>
      </c>
      <c r="AC138" t="str">
        <f t="shared" si="28"/>
        <v>Sí</v>
      </c>
      <c r="AD138" t="str">
        <f>IF(N138="ruptura piso Donchian",IF(T138&gt;-Parametros!$B$6,"Sí","No"),"")</f>
        <v/>
      </c>
      <c r="AE138" s="15" t="str">
        <f>IF(J138="","",(L138*(1-Parametros!$B$32))/(G138*(1+Parametros!$B$32))-1)</f>
        <v/>
      </c>
      <c r="AF138" s="15" t="str">
        <f t="shared" si="29"/>
        <v/>
      </c>
    </row>
    <row r="139" spans="1:32" x14ac:dyDescent="0.3">
      <c r="A139">
        <f t="shared" si="20"/>
        <v>136</v>
      </c>
      <c r="B139" cm="1">
        <f t="array" ref="B139">IFERROR(_xlfn.AGGREGATE(15,6,ROW('Motivos detalle'!$C$2:$C$274)/('Motivos detalle'!$C$2:$C$274="ENTRA"),A139),"")</f>
        <v>270</v>
      </c>
      <c r="C139" s="16" t="str" cm="1">
        <f t="array" ref="C139">INDEX('Motivos detalle'!$B:$B,$B139)</f>
        <v>XLV</v>
      </c>
      <c r="D139" s="17" cm="1">
        <f t="array" ref="D139">INDEX('Motivos detalle'!$A:$A,$B139)</f>
        <v>46231</v>
      </c>
      <c r="E139" s="16" cm="1">
        <f t="array" ref="E139">INDEX('Motivos detalle'!$E:$E,$B139)</f>
        <v>3</v>
      </c>
      <c r="F139" s="18" cm="1">
        <f t="array" ref="F139">INDEX('Motivos detalle'!$F:$F,$B139)</f>
        <v>0.24690000000000001</v>
      </c>
      <c r="G139" s="19" cm="1">
        <f t="array" ref="G139">INDEX('Motivos detalle'!$G:$G,$B139)</f>
        <v>167.26</v>
      </c>
      <c r="H139" s="19" cm="1">
        <f t="array" ref="H139">INDEX('Motivos detalle'!$H:$H,$B139)</f>
        <v>165.61</v>
      </c>
      <c r="I139" s="18">
        <f t="shared" si="21"/>
        <v>9.9631664754542548E-3</v>
      </c>
      <c r="J139" s="16" cm="1">
        <f t="array" ref="J139">IFERROR(_xlfn.AGGREGATE(15,6,ROW('Motivos detalle'!$C$2:$C$274)/(('Motivos detalle'!$C$2:$C$274="SALE")*('Motivos detalle'!$B$2:$B$274=C139)*(ROW('Motivos detalle'!$C$2:$C$274)&gt;B139)),1),"")</f>
        <v>274</v>
      </c>
      <c r="K139" s="17" cm="1">
        <f t="array" ref="K139">IF($J139="","",INDEX('Motivos detalle'!$A:$A,$J139))</f>
        <v>46275</v>
      </c>
      <c r="L139" s="19" cm="1">
        <f t="array" ref="L139">IF($J139="","",INDEX('Motivos detalle'!$G:$G,$J139))</f>
        <v>165.66</v>
      </c>
      <c r="M139" s="19" cm="1">
        <f t="array" ref="M139">IF($J139="","",INDEX('Motivos detalle'!$H:$H,$J139))</f>
        <v>165.76</v>
      </c>
      <c r="N139" s="16" t="str" cm="1">
        <f t="array" ref="N139">IF($J139="","Abierto",INDEX('Motivos detalle'!$D:$D,$J139))</f>
        <v>ruptura piso Donchian</v>
      </c>
      <c r="O139" s="16" cm="1">
        <f t="array" ref="O139">IF($J139="","",INDEX('Motivos detalle'!$E:$E,$J139))</f>
        <v>3</v>
      </c>
      <c r="P139">
        <f t="shared" si="22"/>
        <v>44</v>
      </c>
      <c r="Q139" s="14">
        <f t="shared" si="23"/>
        <v>-9.5659452349634577E-3</v>
      </c>
      <c r="R139" t="str">
        <f t="shared" si="24"/>
        <v>Perdedor</v>
      </c>
      <c r="S139" t="str">
        <f>VLOOKUP(F139,Parametros!$A$25:$B$29,2,TRUE)</f>
        <v>15% a 30%</v>
      </c>
      <c r="T139" s="14">
        <f t="shared" si="25"/>
        <v>-6.0328185328184514E-4</v>
      </c>
      <c r="U139" t="str" cm="1">
        <f t="array" ref="U139">IF(J139="","",IFERROR(_xlfn.AGGREGATE(15,6,ROW('Motivos detalle'!$C$2:$C$274)/(('Motivos detalle'!$C$2:$C$274="ENTRA")*('Motivos detalle'!$B$2:$B$274=C139)*(ROW('Motivos detalle'!$C$2:$C$274)&gt;J139)),1),""))</f>
        <v/>
      </c>
      <c r="V139" s="17" t="str" cm="1">
        <f t="array" ref="V139">IF(U139="","",INDEX('Motivos detalle'!$A:$A,U139))</f>
        <v/>
      </c>
      <c r="W139" t="str">
        <f t="shared" si="26"/>
        <v/>
      </c>
      <c r="X139" s="19" t="str" cm="1">
        <f t="array" ref="X139">IF(U139="","",INDEX('Motivos detalle'!$G:$G,U139))</f>
        <v/>
      </c>
      <c r="Y139" t="str">
        <f>IF(W139="","No",IF(W139&lt;Parametros!$B$4,"Sí","No"))</f>
        <v>No</v>
      </c>
      <c r="Z139" s="14" t="str">
        <f t="shared" si="27"/>
        <v/>
      </c>
      <c r="AA139" t="str">
        <f>IF(F139&gt;Parametros!$B$7,"Sí","No")</f>
        <v>Sí</v>
      </c>
      <c r="AB139" s="15">
        <f>VLOOKUP(YEAR(D139),Parametros!$A$11:$B$21,2,FALSE)</f>
        <v>3.6999999999999998E-2</v>
      </c>
      <c r="AC139" t="str">
        <f t="shared" si="28"/>
        <v>Sí</v>
      </c>
      <c r="AD139" t="str">
        <f>IF(N139="ruptura piso Donchian",IF(T139&gt;-Parametros!$B$6,"Sí","No"),"")</f>
        <v>Sí</v>
      </c>
      <c r="AE139" s="15">
        <f>IF(J139="","",(L139*(1-Parametros!$B$32))/(G139*(1+Parametros!$B$32))-1)</f>
        <v>-1.3519773796899837E-2</v>
      </c>
      <c r="AF139" s="15">
        <f t="shared" si="29"/>
        <v>3.9538285619363789E-3</v>
      </c>
    </row>
    <row r="140" spans="1:32" x14ac:dyDescent="0.3">
      <c r="A140">
        <f t="shared" si="20"/>
        <v>137</v>
      </c>
      <c r="B140" cm="1">
        <f t="array" ref="B140">IFERROR(_xlfn.AGGREGATE(15,6,ROW('Motivos detalle'!$C$2:$C$274)/('Motivos detalle'!$C$2:$C$274="ENTRA"),A140),"")</f>
        <v>272</v>
      </c>
      <c r="C140" s="16" t="str" cm="1">
        <f t="array" ref="C140">INDEX('Motivos detalle'!$B:$B,$B140)</f>
        <v>XLI</v>
      </c>
      <c r="D140" s="17" cm="1">
        <f t="array" ref="D140">INDEX('Motivos detalle'!$A:$A,$B140)</f>
        <v>46238</v>
      </c>
      <c r="E140" s="16" cm="1">
        <f t="array" ref="E140">INDEX('Motivos detalle'!$E:$E,$B140)</f>
        <v>3</v>
      </c>
      <c r="F140" s="18" cm="1">
        <f t="array" ref="F140">INDEX('Motivos detalle'!$F:$F,$B140)</f>
        <v>0.26090000000000002</v>
      </c>
      <c r="G140" s="19" cm="1">
        <f t="array" ref="G140">INDEX('Motivos detalle'!$G:$G,$B140)</f>
        <v>186.4</v>
      </c>
      <c r="H140" s="19" cm="1">
        <f t="array" ref="H140">INDEX('Motivos detalle'!$H:$H,$B140)</f>
        <v>184.92</v>
      </c>
      <c r="I140" s="18">
        <f t="shared" si="21"/>
        <v>8.0034609560892811E-3</v>
      </c>
      <c r="J140" s="16" cm="1">
        <f t="array" ref="J140">IFERROR(_xlfn.AGGREGATE(15,6,ROW('Motivos detalle'!$C$2:$C$274)/(('Motivos detalle'!$C$2:$C$274="SALE")*('Motivos detalle'!$B$2:$B$274=C140)*(ROW('Motivos detalle'!$C$2:$C$274)&gt;B140)),1),"")</f>
        <v>273</v>
      </c>
      <c r="K140" s="17" cm="1">
        <f t="array" ref="K140">IF($J140="","",INDEX('Motivos detalle'!$A:$A,$J140))</f>
        <v>46262</v>
      </c>
      <c r="L140" s="19" cm="1">
        <f t="array" ref="L140">IF($J140="","",INDEX('Motivos detalle'!$G:$G,$J140))</f>
        <v>177.14</v>
      </c>
      <c r="M140" s="19" cm="1">
        <f t="array" ref="M140">IF($J140="","",INDEX('Motivos detalle'!$H:$H,$J140))</f>
        <v>177.89</v>
      </c>
      <c r="N140" s="16" t="str" cm="1">
        <f t="array" ref="N140">IF($J140="","Abierto",INDEX('Motivos detalle'!$D:$D,$J140))</f>
        <v>ruptura piso Donchian</v>
      </c>
      <c r="O140" s="16" cm="1">
        <f t="array" ref="O140">IF($J140="","",INDEX('Motivos detalle'!$E:$E,$J140))</f>
        <v>5</v>
      </c>
      <c r="P140">
        <f t="shared" si="22"/>
        <v>24</v>
      </c>
      <c r="Q140" s="14">
        <f t="shared" si="23"/>
        <v>-4.9678111587982965E-2</v>
      </c>
      <c r="R140" t="str">
        <f t="shared" si="24"/>
        <v>Perdedor</v>
      </c>
      <c r="S140" t="str">
        <f>VLOOKUP(F140,Parametros!$A$25:$B$29,2,TRUE)</f>
        <v>15% a 30%</v>
      </c>
      <c r="T140" s="14">
        <f t="shared" si="25"/>
        <v>-4.2160885940749626E-3</v>
      </c>
      <c r="U140" t="str" cm="1">
        <f t="array" ref="U140">IF(J140="","",IFERROR(_xlfn.AGGREGATE(15,6,ROW('Motivos detalle'!$C$2:$C$274)/(('Motivos detalle'!$C$2:$C$274="ENTRA")*('Motivos detalle'!$B$2:$B$274=C140)*(ROW('Motivos detalle'!$C$2:$C$274)&gt;J140)),1),""))</f>
        <v/>
      </c>
      <c r="V140" s="17" t="str" cm="1">
        <f t="array" ref="V140">IF(U140="","",INDEX('Motivos detalle'!$A:$A,U140))</f>
        <v/>
      </c>
      <c r="W140" t="str">
        <f t="shared" si="26"/>
        <v/>
      </c>
      <c r="X140" s="19" t="str" cm="1">
        <f t="array" ref="X140">IF(U140="","",INDEX('Motivos detalle'!$G:$G,U140))</f>
        <v/>
      </c>
      <c r="Y140" t="str">
        <f>IF(W140="","No",IF(W140&lt;Parametros!$B$4,"Sí","No"))</f>
        <v>No</v>
      </c>
      <c r="Z140" s="14" t="str">
        <f t="shared" si="27"/>
        <v/>
      </c>
      <c r="AA140" t="str">
        <f>IF(F140&gt;Parametros!$B$7,"Sí","No")</f>
        <v>Sí</v>
      </c>
      <c r="AB140" s="15">
        <f>VLOOKUP(YEAR(D140),Parametros!$A$11:$B$21,2,FALSE)</f>
        <v>3.6999999999999998E-2</v>
      </c>
      <c r="AC140" t="str">
        <f t="shared" si="28"/>
        <v>Sí</v>
      </c>
      <c r="AD140" t="str">
        <f>IF(N140="ruptura piso Donchian",IF(T140&gt;-Parametros!$B$6,"Sí","No"),"")</f>
        <v>No</v>
      </c>
      <c r="AE140" s="15">
        <f>IF(J140="","",(L140*(1-Parametros!$B$32))/(G140*(1+Parametros!$B$32))-1)</f>
        <v>-5.3471811741324315E-2</v>
      </c>
      <c r="AF140" s="15">
        <f t="shared" si="29"/>
        <v>3.7937001533413506E-3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D867-B318-4240-A171-A1588B0060A9}">
  <dimension ref="A1:I54"/>
  <sheetViews>
    <sheetView workbookViewId="0">
      <selection activeCell="F39" sqref="F39"/>
    </sheetView>
  </sheetViews>
  <sheetFormatPr baseColWidth="10" defaultRowHeight="14.4" x14ac:dyDescent="0.3"/>
  <cols>
    <col min="1" max="1" width="50" customWidth="1"/>
    <col min="2" max="9" width="16.6640625" customWidth="1"/>
  </cols>
  <sheetData>
    <row r="1" spans="1:9" ht="18" x14ac:dyDescent="0.35">
      <c r="A1" s="3" t="s">
        <v>130</v>
      </c>
    </row>
    <row r="2" spans="1:9" x14ac:dyDescent="0.3">
      <c r="A2" s="11" t="s">
        <v>131</v>
      </c>
    </row>
    <row r="4" spans="1:9" x14ac:dyDescent="0.3">
      <c r="A4" s="5" t="s">
        <v>132</v>
      </c>
      <c r="B4" s="5" t="s">
        <v>133</v>
      </c>
      <c r="C4" s="5" t="s">
        <v>134</v>
      </c>
      <c r="D4" s="5" t="s">
        <v>135</v>
      </c>
      <c r="E4" s="5" t="s">
        <v>136</v>
      </c>
      <c r="F4" s="5" t="s">
        <v>137</v>
      </c>
      <c r="G4" s="5" t="s">
        <v>138</v>
      </c>
      <c r="H4" s="5" t="s">
        <v>139</v>
      </c>
      <c r="I4" s="5" t="s">
        <v>140</v>
      </c>
    </row>
    <row r="5" spans="1:9" x14ac:dyDescent="0.3">
      <c r="A5" t="s">
        <v>141</v>
      </c>
      <c r="B5">
        <f>COUNTIFS(Trades!$R$4:$R$140,"&lt;&gt;Abierto")</f>
        <v>136</v>
      </c>
      <c r="C5">
        <f>COUNTIFS(Trades!$R$4:$R$140,"Ganador")</f>
        <v>67</v>
      </c>
      <c r="D5" s="14">
        <f>IFERROR(C5/B5,0)</f>
        <v>0.49264705882352944</v>
      </c>
      <c r="E5" s="14">
        <f>IFERROR(AVERAGEIFS(Trades!$Q$4:$Q$140,Trades!$R$4:$R$140,"&lt;&gt;Abierto"),0)</f>
        <v>9.6218743483969388E-3</v>
      </c>
      <c r="F5" s="14">
        <f>SUMIFS(Trades!$Q$4:$Q$140,Trades!$R$4:$R$140,"&lt;&gt;Abierto")</f>
        <v>1.3085749113819838</v>
      </c>
      <c r="G5" s="20">
        <f>IFERROR(AVERAGEIFS(Trades!$P$4:$P$140,Trades!$R$4:$R$140,"&lt;&gt;Abierto"),0)</f>
        <v>56.566176470588232</v>
      </c>
      <c r="H5" s="14">
        <f>IF(B5=0,0,_xlfn.MAXIFS(Trades!$Q$4:$Q$140,Trades!$R$4:$R$140,"&lt;&gt;Abierto"))</f>
        <v>0.25961765400047199</v>
      </c>
      <c r="I5" s="14">
        <f>IF(B5=0,0,_xlfn.MINIFS(Trades!$Q$4:$Q$140,Trades!$R$4:$R$140,"&lt;&gt;Abierto"))</f>
        <v>-9.8686828491842404E-2</v>
      </c>
    </row>
    <row r="7" spans="1:9" x14ac:dyDescent="0.3">
      <c r="A7" s="5" t="s">
        <v>142</v>
      </c>
      <c r="B7" s="5" t="s">
        <v>133</v>
      </c>
      <c r="C7" s="5" t="s">
        <v>134</v>
      </c>
      <c r="D7" s="5" t="s">
        <v>135</v>
      </c>
      <c r="E7" s="5" t="s">
        <v>136</v>
      </c>
      <c r="F7" s="5" t="s">
        <v>137</v>
      </c>
      <c r="G7" s="5" t="s">
        <v>138</v>
      </c>
      <c r="H7" s="5" t="s">
        <v>139</v>
      </c>
      <c r="I7" s="5" t="s">
        <v>140</v>
      </c>
    </row>
    <row r="8" spans="1:9" x14ac:dyDescent="0.3">
      <c r="A8" t="s">
        <v>70</v>
      </c>
      <c r="B8">
        <f>COUNTIFS(Trades!$C$4:$C$140,$A8,Trades!$R$4:$R$140,"&lt;&gt;Abierto")</f>
        <v>8</v>
      </c>
      <c r="C8">
        <f>COUNTIFS(Trades!$C$4:$C$140,$A8,Trades!$R$4:$R$140,"Ganador")</f>
        <v>4</v>
      </c>
      <c r="D8" s="14">
        <f t="shared" ref="D8:D18" si="0">IFERROR(C8/B8,0)</f>
        <v>0.5</v>
      </c>
      <c r="E8" s="14">
        <f>IFERROR(AVERAGEIFS(Trades!$Q$4:$Q$140,Trades!$C$4:$C$140,$A8,Trades!$R$4:$R$140,"&lt;&gt;Abierto"),0)</f>
        <v>-2.5241670950444384E-3</v>
      </c>
      <c r="F8" s="14">
        <f>SUMIFS(Trades!$Q$4:$Q$140,Trades!$C$4:$C$140,$A8,Trades!$R$4:$R$140,"&lt;&gt;Abierto")</f>
        <v>-2.0193336760355507E-2</v>
      </c>
      <c r="G8" s="20">
        <f>IFERROR(AVERAGEIFS(Trades!$P$4:$P$140,Trades!$C$4:$C$140,$A8,Trades!$R$4:$R$140,"&lt;&gt;Abierto"),0)</f>
        <v>39.125</v>
      </c>
      <c r="H8" s="14">
        <f>IF(B8=0,0,_xlfn.MAXIFS(Trades!$Q$4:$Q$140,Trades!$C$4:$C$140,$A8,Trades!$R$4:$R$140,"&lt;&gt;Abierto"))</f>
        <v>9.4151212553495123E-2</v>
      </c>
      <c r="I8" s="14">
        <f>IF(B8=0,0,_xlfn.MINIFS(Trades!$Q$4:$Q$140,Trades!$C$4:$C$140,$A8,Trades!$R$4:$R$140,"&lt;&gt;Abierto"))</f>
        <v>-7.0139150056412136E-2</v>
      </c>
    </row>
    <row r="9" spans="1:9" x14ac:dyDescent="0.3">
      <c r="A9" t="s">
        <v>76</v>
      </c>
      <c r="B9">
        <f>COUNTIFS(Trades!$C$4:$C$140,$A9,Trades!$R$4:$R$140,"&lt;&gt;Abierto")</f>
        <v>17</v>
      </c>
      <c r="C9">
        <f>COUNTIFS(Trades!$C$4:$C$140,$A9,Trades!$R$4:$R$140,"Ganador")</f>
        <v>12</v>
      </c>
      <c r="D9" s="14">
        <f t="shared" si="0"/>
        <v>0.70588235294117652</v>
      </c>
      <c r="E9" s="14">
        <f>IFERROR(AVERAGEIFS(Trades!$Q$4:$Q$140,Trades!$C$4:$C$140,$A9,Trades!$R$4:$R$140,"&lt;&gt;Abierto"),0)</f>
        <v>3.2466702783046475E-2</v>
      </c>
      <c r="F9" s="14">
        <f>SUMIFS(Trades!$Q$4:$Q$140,Trades!$C$4:$C$140,$A9,Trades!$R$4:$R$140,"&lt;&gt;Abierto")</f>
        <v>0.55193394731179013</v>
      </c>
      <c r="G9" s="20">
        <f>IFERROR(AVERAGEIFS(Trades!$P$4:$P$140,Trades!$C$4:$C$140,$A9,Trades!$R$4:$R$140,"&lt;&gt;Abierto"),0)</f>
        <v>65.529411764705884</v>
      </c>
      <c r="H9" s="14">
        <f>IF(B9=0,0,_xlfn.MAXIFS(Trades!$Q$4:$Q$140,Trades!$C$4:$C$140,$A9,Trades!$R$4:$R$140,"&lt;&gt;Abierto"))</f>
        <v>0.16472181704521782</v>
      </c>
      <c r="I9" s="14">
        <f>IF(B9=0,0,_xlfn.MINIFS(Trades!$Q$4:$Q$140,Trades!$C$4:$C$140,$A9,Trades!$R$4:$R$140,"&lt;&gt;Abierto"))</f>
        <v>-7.901096858152068E-2</v>
      </c>
    </row>
    <row r="10" spans="1:9" x14ac:dyDescent="0.3">
      <c r="A10" t="s">
        <v>73</v>
      </c>
      <c r="B10">
        <f>COUNTIFS(Trades!$C$4:$C$140,$A10,Trades!$R$4:$R$140,"&lt;&gt;Abierto")</f>
        <v>12</v>
      </c>
      <c r="C10">
        <f>COUNTIFS(Trades!$C$4:$C$140,$A10,Trades!$R$4:$R$140,"Ganador")</f>
        <v>6</v>
      </c>
      <c r="D10" s="14">
        <f t="shared" si="0"/>
        <v>0.5</v>
      </c>
      <c r="E10" s="14">
        <f>IFERROR(AVERAGEIFS(Trades!$Q$4:$Q$140,Trades!$C$4:$C$140,$A10,Trades!$R$4:$R$140,"&lt;&gt;Abierto"),0)</f>
        <v>1.2917549149370683E-2</v>
      </c>
      <c r="F10" s="14">
        <f>SUMIFS(Trades!$Q$4:$Q$140,Trades!$C$4:$C$140,$A10,Trades!$R$4:$R$140,"&lt;&gt;Abierto")</f>
        <v>0.15501058979244819</v>
      </c>
      <c r="G10" s="20">
        <f>IFERROR(AVERAGEIFS(Trades!$P$4:$P$140,Trades!$C$4:$C$140,$A10,Trades!$R$4:$R$140,"&lt;&gt;Abierto"),0)</f>
        <v>54.333333333333336</v>
      </c>
      <c r="H10" s="14">
        <f>IF(B10=0,0,_xlfn.MAXIFS(Trades!$Q$4:$Q$140,Trades!$C$4:$C$140,$A10,Trades!$R$4:$R$140,"&lt;&gt;Abierto"))</f>
        <v>0.25652173913043463</v>
      </c>
      <c r="I10" s="14">
        <f>IF(B10=0,0,_xlfn.MINIFS(Trades!$Q$4:$Q$140,Trades!$C$4:$C$140,$A10,Trades!$R$4:$R$140,"&lt;&gt;Abierto"))</f>
        <v>-9.1493715287927602E-2</v>
      </c>
    </row>
    <row r="11" spans="1:9" x14ac:dyDescent="0.3">
      <c r="A11" t="s">
        <v>72</v>
      </c>
      <c r="B11">
        <f>COUNTIFS(Trades!$C$4:$C$140,$A11,Trades!$R$4:$R$140,"&lt;&gt;Abierto")</f>
        <v>14</v>
      </c>
      <c r="C11">
        <f>COUNTIFS(Trades!$C$4:$C$140,$A11,Trades!$R$4:$R$140,"Ganador")</f>
        <v>8</v>
      </c>
      <c r="D11" s="14">
        <f t="shared" si="0"/>
        <v>0.5714285714285714</v>
      </c>
      <c r="E11" s="14">
        <f>IFERROR(AVERAGEIFS(Trades!$Q$4:$Q$140,Trades!$C$4:$C$140,$A11,Trades!$R$4:$R$140,"&lt;&gt;Abierto"),0)</f>
        <v>1.5560885726760241E-2</v>
      </c>
      <c r="F11" s="14">
        <f>SUMIFS(Trades!$Q$4:$Q$140,Trades!$C$4:$C$140,$A11,Trades!$R$4:$R$140,"&lt;&gt;Abierto")</f>
        <v>0.21785240017464336</v>
      </c>
      <c r="G11" s="20">
        <f>IFERROR(AVERAGEIFS(Trades!$P$4:$P$140,Trades!$C$4:$C$140,$A11,Trades!$R$4:$R$140,"&lt;&gt;Abierto"),0)</f>
        <v>61.142857142857146</v>
      </c>
      <c r="H11" s="14">
        <f>IF(B11=0,0,_xlfn.MAXIFS(Trades!$Q$4:$Q$140,Trades!$C$4:$C$140,$A11,Trades!$R$4:$R$140,"&lt;&gt;Abierto"))</f>
        <v>0.12464722483537161</v>
      </c>
      <c r="I11" s="14">
        <f>IF(B11=0,0,_xlfn.MINIFS(Trades!$Q$4:$Q$140,Trades!$C$4:$C$140,$A11,Trades!$R$4:$R$140,"&lt;&gt;Abierto"))</f>
        <v>-6.3804647499015377E-2</v>
      </c>
    </row>
    <row r="12" spans="1:9" x14ac:dyDescent="0.3">
      <c r="A12" t="s">
        <v>71</v>
      </c>
      <c r="B12">
        <f>COUNTIFS(Trades!$C$4:$C$140,$A12,Trades!$R$4:$R$140,"&lt;&gt;Abierto")</f>
        <v>12</v>
      </c>
      <c r="C12">
        <f>COUNTIFS(Trades!$C$4:$C$140,$A12,Trades!$R$4:$R$140,"Ganador")</f>
        <v>5</v>
      </c>
      <c r="D12" s="14">
        <f t="shared" si="0"/>
        <v>0.41666666666666669</v>
      </c>
      <c r="E12" s="14">
        <f>IFERROR(AVERAGEIFS(Trades!$Q$4:$Q$140,Trades!$C$4:$C$140,$A12,Trades!$R$4:$R$140,"&lt;&gt;Abierto"),0)</f>
        <v>5.5428269932193226E-3</v>
      </c>
      <c r="F12" s="14">
        <f>SUMIFS(Trades!$Q$4:$Q$140,Trades!$C$4:$C$140,$A12,Trades!$R$4:$R$140,"&lt;&gt;Abierto")</f>
        <v>6.6513923918631868E-2</v>
      </c>
      <c r="G12" s="20">
        <f>IFERROR(AVERAGEIFS(Trades!$P$4:$P$140,Trades!$C$4:$C$140,$A12,Trades!$R$4:$R$140,"&lt;&gt;Abierto"),0)</f>
        <v>55.916666666666664</v>
      </c>
      <c r="H12" s="14">
        <f>IF(B12=0,0,_xlfn.MAXIFS(Trades!$Q$4:$Q$140,Trades!$C$4:$C$140,$A12,Trades!$R$4:$R$140,"&lt;&gt;Abierto"))</f>
        <v>9.3644822807364969E-2</v>
      </c>
      <c r="I12" s="14">
        <f>IF(B12=0,0,_xlfn.MINIFS(Trades!$Q$4:$Q$140,Trades!$C$4:$C$140,$A12,Trades!$R$4:$R$140,"&lt;&gt;Abierto"))</f>
        <v>-5.4528650646950116E-2</v>
      </c>
    </row>
    <row r="13" spans="1:9" x14ac:dyDescent="0.3">
      <c r="A13" t="s">
        <v>69</v>
      </c>
      <c r="B13">
        <f>COUNTIFS(Trades!$C$4:$C$140,$A13,Trades!$R$4:$R$140,"&lt;&gt;Abierto")</f>
        <v>23</v>
      </c>
      <c r="C13">
        <f>COUNTIFS(Trades!$C$4:$C$140,$A13,Trades!$R$4:$R$140,"Ganador")</f>
        <v>11</v>
      </c>
      <c r="D13" s="14">
        <f t="shared" si="0"/>
        <v>0.47826086956521741</v>
      </c>
      <c r="E13" s="14">
        <f>IFERROR(AVERAGEIFS(Trades!$Q$4:$Q$140,Trades!$C$4:$C$140,$A13,Trades!$R$4:$R$140,"&lt;&gt;Abierto"),0)</f>
        <v>3.1944253058248738E-2</v>
      </c>
      <c r="F13" s="14">
        <f>SUMIFS(Trades!$Q$4:$Q$140,Trades!$C$4:$C$140,$A13,Trades!$R$4:$R$140,"&lt;&gt;Abierto")</f>
        <v>0.734717820339721</v>
      </c>
      <c r="G13" s="20">
        <f>IFERROR(AVERAGEIFS(Trades!$P$4:$P$140,Trades!$C$4:$C$140,$A13,Trades!$R$4:$R$140,"&lt;&gt;Abierto"),0)</f>
        <v>66.043478260869563</v>
      </c>
      <c r="H13" s="14">
        <f>IF(B13=0,0,_xlfn.MAXIFS(Trades!$Q$4:$Q$140,Trades!$C$4:$C$140,$A13,Trades!$R$4:$R$140,"&lt;&gt;Abierto"))</f>
        <v>0.25961765400047199</v>
      </c>
      <c r="I13" s="14">
        <f>IF(B13=0,0,_xlfn.MINIFS(Trades!$Q$4:$Q$140,Trades!$C$4:$C$140,$A13,Trades!$R$4:$R$140,"&lt;&gt;Abierto"))</f>
        <v>-8.5538461538461563E-2</v>
      </c>
    </row>
    <row r="14" spans="1:9" x14ac:dyDescent="0.3">
      <c r="A14" t="s">
        <v>66</v>
      </c>
      <c r="B14">
        <f>COUNTIFS(Trades!$C$4:$C$140,$A14,Trades!$R$4:$R$140,"&lt;&gt;Abierto")</f>
        <v>7</v>
      </c>
      <c r="C14">
        <f>COUNTIFS(Trades!$C$4:$C$140,$A14,Trades!$R$4:$R$140,"Ganador")</f>
        <v>3</v>
      </c>
      <c r="D14" s="14">
        <f t="shared" si="0"/>
        <v>0.42857142857142855</v>
      </c>
      <c r="E14" s="14">
        <f>IFERROR(AVERAGEIFS(Trades!$Q$4:$Q$140,Trades!$C$4:$C$140,$A14,Trades!$R$4:$R$140,"&lt;&gt;Abierto"),0)</f>
        <v>5.7796197799299277E-3</v>
      </c>
      <c r="F14" s="14">
        <f>SUMIFS(Trades!$Q$4:$Q$140,Trades!$C$4:$C$140,$A14,Trades!$R$4:$R$140,"&lt;&gt;Abierto")</f>
        <v>4.0457338459509495E-2</v>
      </c>
      <c r="G14" s="20">
        <f>IFERROR(AVERAGEIFS(Trades!$P$4:$P$140,Trades!$C$4:$C$140,$A14,Trades!$R$4:$R$140,"&lt;&gt;Abierto"),0)</f>
        <v>62.571428571428569</v>
      </c>
      <c r="H14" s="14">
        <f>IF(B14=0,0,_xlfn.MAXIFS(Trades!$Q$4:$Q$140,Trades!$C$4:$C$140,$A14,Trades!$R$4:$R$140,"&lt;&gt;Abierto"))</f>
        <v>5.5704498063747332E-2</v>
      </c>
      <c r="I14" s="14">
        <f>IF(B14=0,0,_xlfn.MINIFS(Trades!$Q$4:$Q$140,Trades!$C$4:$C$140,$A14,Trades!$R$4:$R$140,"&lt;&gt;Abierto"))</f>
        <v>-2.0014825796886737E-2</v>
      </c>
    </row>
    <row r="15" spans="1:9" x14ac:dyDescent="0.3">
      <c r="A15" t="s">
        <v>75</v>
      </c>
      <c r="B15">
        <f>COUNTIFS(Trades!$C$4:$C$140,$A15,Trades!$R$4:$R$140,"&lt;&gt;Abierto")</f>
        <v>6</v>
      </c>
      <c r="C15">
        <f>COUNTIFS(Trades!$C$4:$C$140,$A15,Trades!$R$4:$R$140,"Ganador")</f>
        <v>2</v>
      </c>
      <c r="D15" s="14">
        <f t="shared" si="0"/>
        <v>0.33333333333333331</v>
      </c>
      <c r="E15" s="14">
        <f>IFERROR(AVERAGEIFS(Trades!$Q$4:$Q$140,Trades!$C$4:$C$140,$A15,Trades!$R$4:$R$140,"&lt;&gt;Abierto"),0)</f>
        <v>1.3537188013672393E-2</v>
      </c>
      <c r="F15" s="14">
        <f>SUMIFS(Trades!$Q$4:$Q$140,Trades!$C$4:$C$140,$A15,Trades!$R$4:$R$140,"&lt;&gt;Abierto")</f>
        <v>8.1223128082034357E-2</v>
      </c>
      <c r="G15" s="20">
        <f>IFERROR(AVERAGEIFS(Trades!$P$4:$P$140,Trades!$C$4:$C$140,$A15,Trades!$R$4:$R$140,"&lt;&gt;Abierto"),0)</f>
        <v>72</v>
      </c>
      <c r="H15" s="14">
        <f>IF(B15=0,0,_xlfn.MAXIFS(Trades!$Q$4:$Q$140,Trades!$C$4:$C$140,$A15,Trades!$R$4:$R$140,"&lt;&gt;Abierto"))</f>
        <v>0.19512195121951237</v>
      </c>
      <c r="I15" s="14">
        <f>IF(B15=0,0,_xlfn.MINIFS(Trades!$Q$4:$Q$140,Trades!$C$4:$C$140,$A15,Trades!$R$4:$R$140,"&lt;&gt;Abierto"))</f>
        <v>-6.3855715330246254E-2</v>
      </c>
    </row>
    <row r="16" spans="1:9" x14ac:dyDescent="0.3">
      <c r="A16" t="s">
        <v>64</v>
      </c>
      <c r="B16">
        <f>COUNTIFS(Trades!$C$4:$C$140,$A16,Trades!$R$4:$R$140,"&lt;&gt;Abierto")</f>
        <v>15</v>
      </c>
      <c r="C16">
        <f>COUNTIFS(Trades!$C$4:$C$140,$A16,Trades!$R$4:$R$140,"Ganador")</f>
        <v>7</v>
      </c>
      <c r="D16" s="14">
        <f t="shared" si="0"/>
        <v>0.46666666666666667</v>
      </c>
      <c r="E16" s="14">
        <f>IFERROR(AVERAGEIFS(Trades!$Q$4:$Q$140,Trades!$C$4:$C$140,$A16,Trades!$R$4:$R$140,"&lt;&gt;Abierto"),0)</f>
        <v>-1.6566677533526978E-2</v>
      </c>
      <c r="F16" s="14">
        <f>SUMIFS(Trades!$Q$4:$Q$140,Trades!$C$4:$C$140,$A16,Trades!$R$4:$R$140,"&lt;&gt;Abierto")</f>
        <v>-0.24850016300290467</v>
      </c>
      <c r="G16" s="20">
        <f>IFERROR(AVERAGEIFS(Trades!$P$4:$P$140,Trades!$C$4:$C$140,$A16,Trades!$R$4:$R$140,"&lt;&gt;Abierto"),0)</f>
        <v>42.466666666666669</v>
      </c>
      <c r="H16" s="14">
        <f>IF(B16=0,0,_xlfn.MAXIFS(Trades!$Q$4:$Q$140,Trades!$C$4:$C$140,$A16,Trades!$R$4:$R$140,"&lt;&gt;Abierto"))</f>
        <v>6.1403508771929793E-2</v>
      </c>
      <c r="I16" s="14">
        <f>IF(B16=0,0,_xlfn.MINIFS(Trades!$Q$4:$Q$140,Trades!$C$4:$C$140,$A16,Trades!$R$4:$R$140,"&lt;&gt;Abierto"))</f>
        <v>-9.8686828491842404E-2</v>
      </c>
    </row>
    <row r="17" spans="1:9" x14ac:dyDescent="0.3">
      <c r="A17" t="s">
        <v>74</v>
      </c>
      <c r="B17">
        <f>COUNTIFS(Trades!$C$4:$C$140,$A17,Trades!$R$4:$R$140,"&lt;&gt;Abierto")</f>
        <v>11</v>
      </c>
      <c r="C17">
        <f>COUNTIFS(Trades!$C$4:$C$140,$A17,Trades!$R$4:$R$140,"Ganador")</f>
        <v>3</v>
      </c>
      <c r="D17" s="14">
        <f t="shared" si="0"/>
        <v>0.27272727272727271</v>
      </c>
      <c r="E17" s="14">
        <f>IFERROR(AVERAGEIFS(Trades!$Q$4:$Q$140,Trades!$C$4:$C$140,$A17,Trades!$R$4:$R$140,"&lt;&gt;Abierto"),0)</f>
        <v>-2.2840547162275047E-2</v>
      </c>
      <c r="F17" s="14">
        <f>SUMIFS(Trades!$Q$4:$Q$140,Trades!$C$4:$C$140,$A17,Trades!$R$4:$R$140,"&lt;&gt;Abierto")</f>
        <v>-0.2512460187850255</v>
      </c>
      <c r="G17" s="20">
        <f>IFERROR(AVERAGEIFS(Trades!$P$4:$P$140,Trades!$C$4:$C$140,$A17,Trades!$R$4:$R$140,"&lt;&gt;Abierto"),0)</f>
        <v>41.81818181818182</v>
      </c>
      <c r="H17" s="14">
        <f>IF(B17=0,0,_xlfn.MAXIFS(Trades!$Q$4:$Q$140,Trades!$C$4:$C$140,$A17,Trades!$R$4:$R$140,"&lt;&gt;Abierto"))</f>
        <v>3.8537712493810661E-2</v>
      </c>
      <c r="I17" s="14">
        <f>IF(B17=0,0,_xlfn.MINIFS(Trades!$Q$4:$Q$140,Trades!$C$4:$C$140,$A17,Trades!$R$4:$R$140,"&lt;&gt;Abierto"))</f>
        <v>-9.2000960845543989E-2</v>
      </c>
    </row>
    <row r="18" spans="1:9" x14ac:dyDescent="0.3">
      <c r="A18" t="s">
        <v>67</v>
      </c>
      <c r="B18">
        <f>COUNTIFS(Trades!$C$4:$C$140,$A18,Trades!$R$4:$R$140,"&lt;&gt;Abierto")</f>
        <v>11</v>
      </c>
      <c r="C18">
        <f>COUNTIFS(Trades!$C$4:$C$140,$A18,Trades!$R$4:$R$140,"Ganador")</f>
        <v>6</v>
      </c>
      <c r="D18" s="14">
        <f t="shared" si="0"/>
        <v>0.54545454545454541</v>
      </c>
      <c r="E18" s="14">
        <f>IFERROR(AVERAGEIFS(Trades!$Q$4:$Q$140,Trades!$C$4:$C$140,$A18,Trades!$R$4:$R$140,"&lt;&gt;Abierto"),0)</f>
        <v>-1.7449743771372457E-3</v>
      </c>
      <c r="F18" s="14">
        <f>SUMIFS(Trades!$Q$4:$Q$140,Trades!$C$4:$C$140,$A18,Trades!$R$4:$R$140,"&lt;&gt;Abierto")</f>
        <v>-1.9194718148509704E-2</v>
      </c>
      <c r="G18" s="20">
        <f>IFERROR(AVERAGEIFS(Trades!$P$4:$P$140,Trades!$C$4:$C$140,$A18,Trades!$R$4:$R$140,"&lt;&gt;Abierto"),0)</f>
        <v>54.636363636363633</v>
      </c>
      <c r="H18" s="14">
        <f>IF(B18=0,0,_xlfn.MAXIFS(Trades!$Q$4:$Q$140,Trades!$C$4:$C$140,$A18,Trades!$R$4:$R$140,"&lt;&gt;Abierto"))</f>
        <v>4.9500998003991992E-2</v>
      </c>
      <c r="I18" s="14">
        <f>IF(B18=0,0,_xlfn.MINIFS(Trades!$Q$4:$Q$140,Trades!$C$4:$C$140,$A18,Trades!$R$4:$R$140,"&lt;&gt;Abierto"))</f>
        <v>-7.0651249787451076E-2</v>
      </c>
    </row>
    <row r="20" spans="1:9" x14ac:dyDescent="0.3">
      <c r="A20" s="5" t="s">
        <v>143</v>
      </c>
      <c r="B20" s="5" t="s">
        <v>133</v>
      </c>
      <c r="C20" s="5" t="s">
        <v>134</v>
      </c>
      <c r="D20" s="5" t="s">
        <v>135</v>
      </c>
      <c r="E20" s="5" t="s">
        <v>136</v>
      </c>
      <c r="F20" s="5" t="s">
        <v>137</v>
      </c>
      <c r="G20" s="5" t="s">
        <v>138</v>
      </c>
      <c r="H20" s="5" t="s">
        <v>139</v>
      </c>
      <c r="I20" s="5" t="s">
        <v>140</v>
      </c>
    </row>
    <row r="21" spans="1:9" x14ac:dyDescent="0.3">
      <c r="A21">
        <v>1</v>
      </c>
      <c r="B21">
        <f>COUNTIFS(Trades!$E$4:$E$140,$A21,Trades!$R$4:$R$140,"&lt;&gt;Abierto")</f>
        <v>35</v>
      </c>
      <c r="C21">
        <f>COUNTIFS(Trades!$E$4:$E$140,$A21,Trades!$R$4:$R$140,"Ganador")</f>
        <v>18</v>
      </c>
      <c r="D21" s="14">
        <f>IFERROR(C21/B21,0)</f>
        <v>0.51428571428571423</v>
      </c>
      <c r="E21" s="14">
        <f>IFERROR(AVERAGEIFS(Trades!$Q$4:$Q$140,Trades!$E$4:$E$140,$A21,Trades!$R$4:$R$140,"&lt;&gt;Abierto"),0)</f>
        <v>2.8058930517798585E-2</v>
      </c>
      <c r="F21" s="14">
        <f>SUMIFS(Trades!$Q$4:$Q$140,Trades!$E$4:$E$140,$A21,Trades!$R$4:$R$140,"&lt;&gt;Abierto")</f>
        <v>0.98206256812295045</v>
      </c>
      <c r="G21" s="20">
        <f>IFERROR(AVERAGEIFS(Trades!$P$4:$P$140,Trades!$E$4:$E$140,$A21,Trades!$R$4:$R$140,"&lt;&gt;Abierto"),0)</f>
        <v>66.2</v>
      </c>
      <c r="H21" s="14">
        <f>IF(B21=0,0,_xlfn.MAXIFS(Trades!$Q$4:$Q$140,Trades!$E$4:$E$140,$A21,Trades!$R$4:$R$140,"&lt;&gt;Abierto"))</f>
        <v>0.25961765400047199</v>
      </c>
      <c r="I21" s="14">
        <f>IF(B21=0,0,_xlfn.MINIFS(Trades!$Q$4:$Q$140,Trades!$E$4:$E$140,$A21,Trades!$R$4:$R$140,"&lt;&gt;Abierto"))</f>
        <v>-9.1493715287927602E-2</v>
      </c>
    </row>
    <row r="22" spans="1:9" x14ac:dyDescent="0.3">
      <c r="A22">
        <v>2</v>
      </c>
      <c r="B22">
        <f>COUNTIFS(Trades!$E$4:$E$140,$A22,Trades!$R$4:$R$140,"&lt;&gt;Abierto")</f>
        <v>47</v>
      </c>
      <c r="C22">
        <f>COUNTIFS(Trades!$E$4:$E$140,$A22,Trades!$R$4:$R$140,"Ganador")</f>
        <v>26</v>
      </c>
      <c r="D22" s="14">
        <f>IFERROR(C22/B22,0)</f>
        <v>0.55319148936170215</v>
      </c>
      <c r="E22" s="14">
        <f>IFERROR(AVERAGEIFS(Trades!$Q$4:$Q$140,Trades!$E$4:$E$140,$A22,Trades!$R$4:$R$140,"&lt;&gt;Abierto"),0)</f>
        <v>1.4232628892093851E-2</v>
      </c>
      <c r="F22" s="14">
        <f>SUMIFS(Trades!$Q$4:$Q$140,Trades!$E$4:$E$140,$A22,Trades!$R$4:$R$140,"&lt;&gt;Abierto")</f>
        <v>0.66893355792841103</v>
      </c>
      <c r="G22" s="20">
        <f>IFERROR(AVERAGEIFS(Trades!$P$4:$P$140,Trades!$E$4:$E$140,$A22,Trades!$R$4:$R$140,"&lt;&gt;Abierto"),0)</f>
        <v>64.978723404255319</v>
      </c>
      <c r="H22" s="14">
        <f>IF(B22=0,0,_xlfn.MAXIFS(Trades!$Q$4:$Q$140,Trades!$E$4:$E$140,$A22,Trades!$R$4:$R$140,"&lt;&gt;Abierto"))</f>
        <v>0.19512195121951237</v>
      </c>
      <c r="I22" s="14">
        <f>IF(B22=0,0,_xlfn.MINIFS(Trades!$Q$4:$Q$140,Trades!$E$4:$E$140,$A22,Trades!$R$4:$R$140,"&lt;&gt;Abierto"))</f>
        <v>-9.8686828491842404E-2</v>
      </c>
    </row>
    <row r="23" spans="1:9" x14ac:dyDescent="0.3">
      <c r="A23">
        <v>3</v>
      </c>
      <c r="B23">
        <f>COUNTIFS(Trades!$E$4:$E$140,$A23,Trades!$R$4:$R$140,"&lt;&gt;Abierto")</f>
        <v>54</v>
      </c>
      <c r="C23">
        <f>COUNTIFS(Trades!$E$4:$E$140,$A23,Trades!$R$4:$R$140,"Ganador")</f>
        <v>23</v>
      </c>
      <c r="D23" s="14">
        <f>IFERROR(C23/B23,0)</f>
        <v>0.42592592592592593</v>
      </c>
      <c r="E23" s="14">
        <f>IFERROR(AVERAGEIFS(Trades!$Q$4:$Q$140,Trades!$E$4:$E$140,$A23,Trades!$R$4:$R$140,"&lt;&gt;Abierto"),0)</f>
        <v>-6.3411336049884904E-3</v>
      </c>
      <c r="F23" s="14">
        <f>SUMIFS(Trades!$Q$4:$Q$140,Trades!$E$4:$E$140,$A23,Trades!$R$4:$R$140,"&lt;&gt;Abierto")</f>
        <v>-0.34242121466937847</v>
      </c>
      <c r="G23" s="20">
        <f>IFERROR(AVERAGEIFS(Trades!$P$4:$P$140,Trades!$E$4:$E$140,$A23,Trades!$R$4:$R$140,"&lt;&gt;Abierto"),0)</f>
        <v>43</v>
      </c>
      <c r="H23" s="14">
        <f>IF(B23=0,0,_xlfn.MAXIFS(Trades!$Q$4:$Q$140,Trades!$E$4:$E$140,$A23,Trades!$R$4:$R$140,"&lt;&gt;Abierto"))</f>
        <v>7.4478988725657613E-2</v>
      </c>
      <c r="I23" s="14">
        <f>IF(B23=0,0,_xlfn.MINIFS(Trades!$Q$4:$Q$140,Trades!$E$4:$E$140,$A23,Trades!$R$4:$R$140,"&lt;&gt;Abierto"))</f>
        <v>-9.2000960845543989E-2</v>
      </c>
    </row>
    <row r="25" spans="1:9" x14ac:dyDescent="0.3">
      <c r="A25" s="5" t="s">
        <v>144</v>
      </c>
      <c r="B25" s="5" t="s">
        <v>133</v>
      </c>
      <c r="C25" s="5" t="s">
        <v>134</v>
      </c>
      <c r="D25" s="5" t="s">
        <v>135</v>
      </c>
      <c r="E25" s="5" t="s">
        <v>136</v>
      </c>
      <c r="F25" s="5" t="s">
        <v>137</v>
      </c>
      <c r="G25" s="5" t="s">
        <v>138</v>
      </c>
      <c r="H25" s="5" t="s">
        <v>139</v>
      </c>
      <c r="I25" s="5" t="s">
        <v>140</v>
      </c>
    </row>
    <row r="26" spans="1:9" x14ac:dyDescent="0.3">
      <c r="A26" t="s">
        <v>54</v>
      </c>
      <c r="B26">
        <f>COUNTIFS(Trades!$N$4:$N$140,$A26,Trades!$R$4:$R$140,"&lt;&gt;Abierto")</f>
        <v>101</v>
      </c>
      <c r="C26">
        <f>COUNTIFS(Trades!$N$4:$N$140,$A26,Trades!$R$4:$R$140,"Ganador")</f>
        <v>49</v>
      </c>
      <c r="D26" s="14">
        <f>IFERROR(C26/B26,0)</f>
        <v>0.48514851485148514</v>
      </c>
      <c r="E26" s="14">
        <f>IFERROR(AVERAGEIFS(Trades!$Q$4:$Q$140,Trades!$N$4:$N$140,$A26,Trades!$R$4:$R$140,"&lt;&gt;Abierto"),0)</f>
        <v>1.050573436428355E-2</v>
      </c>
      <c r="F26" s="14">
        <f>SUMIFS(Trades!$Q$4:$Q$140,Trades!$N$4:$N$140,$A26,Trades!$R$4:$R$140,"&lt;&gt;Abierto")</f>
        <v>1.0610791707926386</v>
      </c>
      <c r="G26" s="20">
        <f>IFERROR(AVERAGEIFS(Trades!$P$4:$P$140,Trades!$N$4:$N$140,$A26,Trades!$R$4:$R$140,"&lt;&gt;Abierto"),0)</f>
        <v>65.257425742574256</v>
      </c>
      <c r="H26" s="14">
        <f>IF(B26=0,0,_xlfn.MAXIFS(Trades!$Q$4:$Q$140,Trades!$N$4:$N$140,$A26,Trades!$R$4:$R$140,"&lt;&gt;Abierto"))</f>
        <v>0.25961765400047199</v>
      </c>
      <c r="I26" s="14">
        <f>IF(B26=0,0,_xlfn.MINIFS(Trades!$Q$4:$Q$140,Trades!$N$4:$N$140,$A26,Trades!$R$4:$R$140,"&lt;&gt;Abierto"))</f>
        <v>-9.8686828491842404E-2</v>
      </c>
    </row>
    <row r="27" spans="1:9" x14ac:dyDescent="0.3">
      <c r="A27" t="s">
        <v>55</v>
      </c>
      <c r="B27">
        <f>COUNTIFS(Trades!$N$4:$N$140,$A27,Trades!$R$4:$R$140,"&lt;&gt;Abierto")</f>
        <v>33</v>
      </c>
      <c r="C27">
        <f>COUNTIFS(Trades!$N$4:$N$140,$A27,Trades!$R$4:$R$140,"Ganador")</f>
        <v>18</v>
      </c>
      <c r="D27" s="14">
        <f>IFERROR(C27/B27,0)</f>
        <v>0.54545454545454541</v>
      </c>
      <c r="E27" s="14">
        <f>IFERROR(AVERAGEIFS(Trades!$Q$4:$Q$140,Trades!$N$4:$N$140,$A27,Trades!$R$4:$R$140,"&lt;&gt;Abierto"),0)</f>
        <v>1.0107150021709935E-2</v>
      </c>
      <c r="F27" s="14">
        <f>SUMIFS(Trades!$Q$4:$Q$140,Trades!$N$4:$N$140,$A27,Trades!$R$4:$R$140,"&lt;&gt;Abierto")</f>
        <v>0.33353595071642783</v>
      </c>
      <c r="G27" s="20">
        <f>IFERROR(AVERAGEIFS(Trades!$P$4:$P$140,Trades!$N$4:$N$140,$A27,Trades!$R$4:$R$140,"&lt;&gt;Abierto"),0)</f>
        <v>30.030303030303031</v>
      </c>
      <c r="H27" s="14">
        <f>IF(B27=0,0,_xlfn.MAXIFS(Trades!$Q$4:$Q$140,Trades!$N$4:$N$140,$A27,Trades!$R$4:$R$140,"&lt;&gt;Abierto"))</f>
        <v>0.12464722483537161</v>
      </c>
      <c r="I27" s="14">
        <f>IF(B27=0,0,_xlfn.MINIFS(Trades!$Q$4:$Q$140,Trades!$N$4:$N$140,$A27,Trades!$R$4:$R$140,"&lt;&gt;Abierto"))</f>
        <v>-3.1068451629199356E-2</v>
      </c>
    </row>
    <row r="28" spans="1:9" x14ac:dyDescent="0.3">
      <c r="A28" t="s">
        <v>56</v>
      </c>
      <c r="B28">
        <f>COUNTIFS(Trades!$N$4:$N$140,$A28,Trades!$R$4:$R$140,"&lt;&gt;Abierto")</f>
        <v>2</v>
      </c>
      <c r="C28">
        <f>COUNTIFS(Trades!$N$4:$N$140,$A28,Trades!$R$4:$R$140,"Ganador")</f>
        <v>0</v>
      </c>
      <c r="D28" s="14">
        <f>IFERROR(C28/B28,0)</f>
        <v>0</v>
      </c>
      <c r="E28" s="14">
        <f>IFERROR(AVERAGEIFS(Trades!$Q$4:$Q$140,Trades!$N$4:$N$140,$A28,Trades!$R$4:$R$140,"&lt;&gt;Abierto"),0)</f>
        <v>-4.3020105063541703E-2</v>
      </c>
      <c r="F28" s="14">
        <f>SUMIFS(Trades!$Q$4:$Q$140,Trades!$N$4:$N$140,$A28,Trades!$R$4:$R$140,"&lt;&gt;Abierto")</f>
        <v>-8.6040210127083405E-2</v>
      </c>
      <c r="G28" s="20">
        <f>IFERROR(AVERAGEIFS(Trades!$P$4:$P$140,Trades!$N$4:$N$140,$A28,Trades!$R$4:$R$140,"&lt;&gt;Abierto"),0)</f>
        <v>55.5</v>
      </c>
      <c r="H28" s="14">
        <f>IF(B28=0,0,_xlfn.MAXIFS(Trades!$Q$4:$Q$140,Trades!$N$4:$N$140,$A28,Trades!$R$4:$R$140,"&lt;&gt;Abierto"))</f>
        <v>-1.5901060070671269E-2</v>
      </c>
      <c r="I28" s="14">
        <f>IF(B28=0,0,_xlfn.MINIFS(Trades!$Q$4:$Q$140,Trades!$N$4:$N$140,$A28,Trades!$R$4:$R$140,"&lt;&gt;Abierto"))</f>
        <v>-7.0139150056412136E-2</v>
      </c>
    </row>
    <row r="30" spans="1:9" x14ac:dyDescent="0.3">
      <c r="A30" s="5" t="s">
        <v>145</v>
      </c>
      <c r="B30" s="5" t="s">
        <v>133</v>
      </c>
      <c r="C30" s="5" t="s">
        <v>134</v>
      </c>
      <c r="D30" s="5" t="s">
        <v>135</v>
      </c>
      <c r="E30" s="5" t="s">
        <v>136</v>
      </c>
      <c r="F30" s="5" t="s">
        <v>137</v>
      </c>
      <c r="G30" s="5" t="s">
        <v>138</v>
      </c>
      <c r="H30" s="5" t="s">
        <v>139</v>
      </c>
      <c r="I30" s="5" t="s">
        <v>140</v>
      </c>
    </row>
    <row r="31" spans="1:9" x14ac:dyDescent="0.3">
      <c r="A31" t="str">
        <f>Parametros!B25</f>
        <v>Negativo</v>
      </c>
      <c r="B31">
        <f>COUNTIFS(Trades!$S$4:$S$140,$A31,Trades!$R$4:$R$140,"&lt;&gt;Abierto")</f>
        <v>2</v>
      </c>
      <c r="C31">
        <f>COUNTIFS(Trades!$S$4:$S$140,$A31,Trades!$R$4:$R$140,"Ganador")</f>
        <v>1</v>
      </c>
      <c r="D31" s="14">
        <f>IFERROR(C31/B31,0)</f>
        <v>0.5</v>
      </c>
      <c r="E31" s="14">
        <f>IFERROR(AVERAGEIFS(Trades!$Q$4:$Q$140,Trades!$S$4:$S$140,$A31,Trades!$R$4:$R$140,"&lt;&gt;Abierto"),0)</f>
        <v>1.2213203797246219E-2</v>
      </c>
      <c r="F31" s="14">
        <f>SUMIFS(Trades!$Q$4:$Q$140,Trades!$S$4:$S$140,$A31,Trades!$R$4:$R$140,"&lt;&gt;Abierto")</f>
        <v>2.4426407594492439E-2</v>
      </c>
      <c r="G31" s="20">
        <f>IFERROR(AVERAGEIFS(Trades!$P$4:$P$140,Trades!$S$4:$S$140,$A31,Trades!$R$4:$R$140,"&lt;&gt;Abierto"),0)</f>
        <v>60.5</v>
      </c>
      <c r="H31" s="14">
        <f>IF(B31=0,0,_xlfn.MAXIFS(Trades!$Q$4:$Q$140,Trades!$S$4:$S$140,$A31,Trades!$R$4:$R$140,"&lt;&gt;Abierto"))</f>
        <v>3.8537712493810661E-2</v>
      </c>
      <c r="I31" s="14">
        <f>IF(B31=0,0,_xlfn.MINIFS(Trades!$Q$4:$Q$140,Trades!$S$4:$S$140,$A31,Trades!$R$4:$R$140,"&lt;&gt;Abierto"))</f>
        <v>-1.4111304899318222E-2</v>
      </c>
    </row>
    <row r="32" spans="1:9" x14ac:dyDescent="0.3">
      <c r="A32" t="str">
        <f>Parametros!B26</f>
        <v>0% a 5%</v>
      </c>
      <c r="B32">
        <f>COUNTIFS(Trades!$S$4:$S$140,$A32,Trades!$R$4:$R$140,"&lt;&gt;Abierto")</f>
        <v>7</v>
      </c>
      <c r="C32">
        <f>COUNTIFS(Trades!$S$4:$S$140,$A32,Trades!$R$4:$R$140,"Ganador")</f>
        <v>5</v>
      </c>
      <c r="D32" s="14">
        <f>IFERROR(C32/B32,0)</f>
        <v>0.7142857142857143</v>
      </c>
      <c r="E32" s="14">
        <f>IFERROR(AVERAGEIFS(Trades!$Q$4:$Q$140,Trades!$S$4:$S$140,$A32,Trades!$R$4:$R$140,"&lt;&gt;Abierto"),0)</f>
        <v>2.5746621035687287E-2</v>
      </c>
      <c r="F32" s="14">
        <f>SUMIFS(Trades!$Q$4:$Q$140,Trades!$S$4:$S$140,$A32,Trades!$R$4:$R$140,"&lt;&gt;Abierto")</f>
        <v>0.18022634724981101</v>
      </c>
      <c r="G32" s="20">
        <f>IFERROR(AVERAGEIFS(Trades!$P$4:$P$140,Trades!$S$4:$S$140,$A32,Trades!$R$4:$R$140,"&lt;&gt;Abierto"),0)</f>
        <v>61.714285714285715</v>
      </c>
      <c r="H32" s="14">
        <f>IF(B32=0,0,_xlfn.MAXIFS(Trades!$Q$4:$Q$140,Trades!$S$4:$S$140,$A32,Trades!$R$4:$R$140,"&lt;&gt;Abierto"))</f>
        <v>7.4478988725657613E-2</v>
      </c>
      <c r="I32" s="14">
        <f>IF(B32=0,0,_xlfn.MINIFS(Trades!$Q$4:$Q$140,Trades!$S$4:$S$140,$A32,Trades!$R$4:$R$140,"&lt;&gt;Abierto"))</f>
        <v>-3.1068451629199356E-2</v>
      </c>
    </row>
    <row r="33" spans="1:9" x14ac:dyDescent="0.3">
      <c r="A33" t="str">
        <f>Parametros!B27</f>
        <v>5% a 15%</v>
      </c>
      <c r="B33">
        <f>COUNTIFS(Trades!$S$4:$S$140,$A33,Trades!$R$4:$R$140,"&lt;&gt;Abierto")</f>
        <v>18</v>
      </c>
      <c r="C33">
        <f>COUNTIFS(Trades!$S$4:$S$140,$A33,Trades!$R$4:$R$140,"Ganador")</f>
        <v>12</v>
      </c>
      <c r="D33" s="14">
        <f>IFERROR(C33/B33,0)</f>
        <v>0.66666666666666663</v>
      </c>
      <c r="E33" s="14">
        <f>IFERROR(AVERAGEIFS(Trades!$Q$4:$Q$140,Trades!$S$4:$S$140,$A33,Trades!$R$4:$R$140,"&lt;&gt;Abierto"),0)</f>
        <v>2.1043285273662043E-2</v>
      </c>
      <c r="F33" s="14">
        <f>SUMIFS(Trades!$Q$4:$Q$140,Trades!$S$4:$S$140,$A33,Trades!$R$4:$R$140,"&lt;&gt;Abierto")</f>
        <v>0.37877913492591675</v>
      </c>
      <c r="G33" s="20">
        <f>IFERROR(AVERAGEIFS(Trades!$P$4:$P$140,Trades!$S$4:$S$140,$A33,Trades!$R$4:$R$140,"&lt;&gt;Abierto"),0)</f>
        <v>73.166666666666671</v>
      </c>
      <c r="H33" s="14">
        <f>IF(B33=0,0,_xlfn.MAXIFS(Trades!$Q$4:$Q$140,Trades!$S$4:$S$140,$A33,Trades!$R$4:$R$140,"&lt;&gt;Abierto"))</f>
        <v>0.19512195121951237</v>
      </c>
      <c r="I33" s="14">
        <f>IF(B33=0,0,_xlfn.MINIFS(Trades!$Q$4:$Q$140,Trades!$S$4:$S$140,$A33,Trades!$R$4:$R$140,"&lt;&gt;Abierto"))</f>
        <v>-9.8686828491842404E-2</v>
      </c>
    </row>
    <row r="34" spans="1:9" x14ac:dyDescent="0.3">
      <c r="A34" t="str">
        <f>Parametros!B28</f>
        <v>15% a 30%</v>
      </c>
      <c r="B34">
        <f>COUNTIFS(Trades!$S$4:$S$140,$A34,Trades!$R$4:$R$140,"&lt;&gt;Abierto")</f>
        <v>59</v>
      </c>
      <c r="C34">
        <f>COUNTIFS(Trades!$S$4:$S$140,$A34,Trades!$R$4:$R$140,"Ganador")</f>
        <v>28</v>
      </c>
      <c r="D34" s="14">
        <f>IFERROR(C34/B34,0)</f>
        <v>0.47457627118644069</v>
      </c>
      <c r="E34" s="14">
        <f>IFERROR(AVERAGEIFS(Trades!$Q$4:$Q$140,Trades!$S$4:$S$140,$A34,Trades!$R$4:$R$140,"&lt;&gt;Abierto"),0)</f>
        <v>5.1766278420356353E-3</v>
      </c>
      <c r="F34" s="14">
        <f>SUMIFS(Trades!$Q$4:$Q$140,Trades!$S$4:$S$140,$A34,Trades!$R$4:$R$140,"&lt;&gt;Abierto")</f>
        <v>0.30542104268010251</v>
      </c>
      <c r="G34" s="20">
        <f>IFERROR(AVERAGEIFS(Trades!$P$4:$P$140,Trades!$S$4:$S$140,$A34,Trades!$R$4:$R$140,"&lt;&gt;Abierto"),0)</f>
        <v>53.152542372881356</v>
      </c>
      <c r="H34" s="14">
        <f>IF(B34=0,0,_xlfn.MAXIFS(Trades!$Q$4:$Q$140,Trades!$S$4:$S$140,$A34,Trades!$R$4:$R$140,"&lt;&gt;Abierto"))</f>
        <v>0.25961765400047199</v>
      </c>
      <c r="I34" s="14">
        <f>IF(B34=0,0,_xlfn.MINIFS(Trades!$Q$4:$Q$140,Trades!$S$4:$S$140,$A34,Trades!$R$4:$R$140,"&lt;&gt;Abierto"))</f>
        <v>-9.686179843089926E-2</v>
      </c>
    </row>
    <row r="35" spans="1:9" x14ac:dyDescent="0.3">
      <c r="A35" t="str">
        <f>Parametros!B29</f>
        <v>Más de 30%</v>
      </c>
      <c r="B35">
        <f>COUNTIFS(Trades!$S$4:$S$140,$A35,Trades!$R$4:$R$140,"&lt;&gt;Abierto")</f>
        <v>50</v>
      </c>
      <c r="C35">
        <f>COUNTIFS(Trades!$S$4:$S$140,$A35,Trades!$R$4:$R$140,"Ganador")</f>
        <v>21</v>
      </c>
      <c r="D35" s="14">
        <f>IFERROR(C35/B35,0)</f>
        <v>0.42</v>
      </c>
      <c r="E35" s="14">
        <f>IFERROR(AVERAGEIFS(Trades!$Q$4:$Q$140,Trades!$S$4:$S$140,$A35,Trades!$R$4:$R$140,"&lt;&gt;Abierto"),0)</f>
        <v>8.3944395786332057E-3</v>
      </c>
      <c r="F35" s="14">
        <f>SUMIFS(Trades!$Q$4:$Q$140,Trades!$S$4:$S$140,$A35,Trades!$R$4:$R$140,"&lt;&gt;Abierto")</f>
        <v>0.4197219789316603</v>
      </c>
      <c r="G35" s="20">
        <f>IFERROR(AVERAGEIFS(Trades!$P$4:$P$140,Trades!$S$4:$S$140,$A35,Trades!$R$4:$R$140,"&lt;&gt;Abierto"),0)</f>
        <v>53.74</v>
      </c>
      <c r="H35" s="14">
        <f>IF(B35=0,0,_xlfn.MAXIFS(Trades!$Q$4:$Q$140,Trades!$S$4:$S$140,$A35,Trades!$R$4:$R$140,"&lt;&gt;Abierto"))</f>
        <v>0.25652173913043463</v>
      </c>
      <c r="I35" s="14">
        <f>IF(B35=0,0,_xlfn.MINIFS(Trades!$Q$4:$Q$140,Trades!$S$4:$S$140,$A35,Trades!$R$4:$R$140,"&lt;&gt;Abierto"))</f>
        <v>-9.1493715287927602E-2</v>
      </c>
    </row>
    <row r="37" spans="1:9" ht="17.399999999999999" x14ac:dyDescent="0.35">
      <c r="A37" s="32" t="s">
        <v>213</v>
      </c>
    </row>
    <row r="38" spans="1:9" x14ac:dyDescent="0.3">
      <c r="A38" s="11" t="s">
        <v>214</v>
      </c>
    </row>
    <row r="40" spans="1:9" x14ac:dyDescent="0.3">
      <c r="A40" s="5" t="s">
        <v>144</v>
      </c>
      <c r="B40" s="5" t="s">
        <v>133</v>
      </c>
      <c r="C40" s="5" t="s">
        <v>215</v>
      </c>
      <c r="D40" s="5" t="s">
        <v>216</v>
      </c>
      <c r="E40" s="5" t="s">
        <v>217</v>
      </c>
      <c r="F40" s="5" t="s">
        <v>212</v>
      </c>
      <c r="G40" s="5" t="s">
        <v>218</v>
      </c>
      <c r="H40" s="5" t="s">
        <v>219</v>
      </c>
      <c r="I40" s="5" t="s">
        <v>220</v>
      </c>
    </row>
    <row r="41" spans="1:9" x14ac:dyDescent="0.3">
      <c r="A41" s="4" t="s">
        <v>141</v>
      </c>
      <c r="B41" s="4">
        <f>COUNTIFS(Trades!$R$4:$R$140,"&lt;&gt;Abierto")</f>
        <v>136</v>
      </c>
      <c r="C41" s="4">
        <f>B41*2</f>
        <v>272</v>
      </c>
      <c r="D41" s="24">
        <f>SUMIFS(Trades!$Q$4:$Q$140,Trades!$R$4:$R$140,"&lt;&gt;Abierto")</f>
        <v>1.3085749113819838</v>
      </c>
      <c r="E41" s="24">
        <f>SUMIFS(Trades!$AE$4:$AE$140,Trades!$R$4:$R$140,"&lt;&gt;Abierto")</f>
        <v>0.76043688778365137</v>
      </c>
      <c r="F41" s="24">
        <f>D41-E41</f>
        <v>0.54813802359833241</v>
      </c>
      <c r="G41" s="24">
        <f>IF(D41&gt;0,F41/D41,"n/a")</f>
        <v>0.41888165425657198</v>
      </c>
      <c r="H41" s="33">
        <f>IFERROR(F41/B41,0)</f>
        <v>4.0304266441053855E-3</v>
      </c>
      <c r="I41" s="34">
        <f>IFERROR(COUNTIFS(Trades!$R$4:$R$140,"&lt;&gt;Abierto",Trades!$AE$4:$AE$140,"&gt;0")/B41,0)</f>
        <v>0.4264705882352941</v>
      </c>
    </row>
    <row r="42" spans="1:9" x14ac:dyDescent="0.3">
      <c r="A42" t="str">
        <f>A26</f>
        <v>ruptura piso Donchian</v>
      </c>
      <c r="B42">
        <f>COUNTIFS(Trades!$N$4:$N$140,$A42,Trades!$R$4:$R$140,"&lt;&gt;Abierto")</f>
        <v>101</v>
      </c>
      <c r="C42">
        <f>B42*2</f>
        <v>202</v>
      </c>
      <c r="D42" s="14">
        <f>SUMIFS(Trades!$Q$4:$Q$140,Trades!$N$4:$N$140,$A42,Trades!$R$4:$R$140,"&lt;&gt;Abierto")</f>
        <v>1.0610791707926386</v>
      </c>
      <c r="E42" s="14">
        <f>SUMIFS(Trades!$AE$4:$AE$140,Trades!$N$4:$N$140,$A42,Trades!$R$4:$R$140,"&lt;&gt;Abierto")</f>
        <v>0.65364971302500341</v>
      </c>
      <c r="F42" s="14">
        <f>D42-E42</f>
        <v>0.40742945776763517</v>
      </c>
      <c r="G42" s="14">
        <f>IF(D42&gt;0,F42/D42,"n/a")</f>
        <v>0.3839764920305434</v>
      </c>
      <c r="H42" s="15">
        <f>IFERROR(F42/B42,0)</f>
        <v>4.0339550274023283E-3</v>
      </c>
      <c r="I42" s="22">
        <f>IFERROR(COUNTIFS(Trades!$N$4:$N$140,$A42,Trades!$R$4:$R$140,"&lt;&gt;Abierto",Trades!$AE$4:$AE$140,"&gt;0")/B42,0)</f>
        <v>0.43564356435643564</v>
      </c>
    </row>
    <row r="43" spans="1:9" x14ac:dyDescent="0.3">
      <c r="A43" t="str">
        <f>A27</f>
        <v>cae del ranking (&gt;#5)</v>
      </c>
      <c r="B43">
        <f>COUNTIFS(Trades!$N$4:$N$140,$A43,Trades!$R$4:$R$140,"&lt;&gt;Abierto")</f>
        <v>33</v>
      </c>
      <c r="C43">
        <f t="shared" ref="C43:C44" si="1">B43*2</f>
        <v>66</v>
      </c>
      <c r="D43" s="14">
        <f>SUMIFS(Trades!$Q$4:$Q$140,Trades!$N$4:$N$140,$A43,Trades!$R$4:$R$140,"&lt;&gt;Abierto")</f>
        <v>0.33353595071642783</v>
      </c>
      <c r="E43" s="14">
        <f>SUMIFS(Trades!$AE$4:$AE$140,Trades!$N$4:$N$140,$A43,Trades!$R$4:$R$140,"&lt;&gt;Abierto")</f>
        <v>0.20046794292913606</v>
      </c>
      <c r="F43" s="14">
        <f t="shared" ref="F43:F44" si="2">D43-E43</f>
        <v>0.13306800778729178</v>
      </c>
      <c r="G43" s="14">
        <f t="shared" ref="G43:G44" si="3">IF(D43&gt;0,F43/D43,"n/a")</f>
        <v>0.39896151374826205</v>
      </c>
      <c r="H43" s="15">
        <f t="shared" ref="H43:H44" si="4">IFERROR(F43/B43,0)</f>
        <v>4.0323638723421748E-3</v>
      </c>
      <c r="I43" s="22">
        <f>IFERROR(COUNTIFS(Trades!$N$4:$N$140,$A43,Trades!$R$4:$R$140,"&lt;&gt;Abierto",Trades!$AE$4:$AE$140,"&gt;0")/B43,0)</f>
        <v>0.42424242424242425</v>
      </c>
    </row>
    <row r="44" spans="1:9" x14ac:dyDescent="0.3">
      <c r="A44" t="str">
        <f>A28</f>
        <v>ruptura piso Donchian + cae del ranking (&gt;#5)</v>
      </c>
      <c r="B44">
        <f>COUNTIFS(Trades!$N$4:$N$140,$A44,Trades!$R$4:$R$140,"&lt;&gt;Abierto")</f>
        <v>2</v>
      </c>
      <c r="C44">
        <f t="shared" si="1"/>
        <v>4</v>
      </c>
      <c r="D44" s="14">
        <f>SUMIFS(Trades!$Q$4:$Q$140,Trades!$N$4:$N$140,$A44,Trades!$R$4:$R$140,"&lt;&gt;Abierto")</f>
        <v>-8.6040210127083405E-2</v>
      </c>
      <c r="E44" s="14">
        <f>SUMIFS(Trades!$AE$4:$AE$140,Trades!$N$4:$N$140,$A44,Trades!$R$4:$R$140,"&lt;&gt;Abierto")</f>
        <v>-9.3680768170488093E-2</v>
      </c>
      <c r="F44" s="14">
        <f t="shared" si="2"/>
        <v>7.6405580434046882E-3</v>
      </c>
      <c r="G44" s="14" t="str">
        <f t="shared" si="3"/>
        <v>n/a</v>
      </c>
      <c r="H44" s="15">
        <f t="shared" si="4"/>
        <v>3.8202790217023441E-3</v>
      </c>
      <c r="I44" s="22">
        <f>IFERROR(COUNTIFS(Trades!$N$4:$N$140,$A44,Trades!$R$4:$R$140,"&lt;&gt;Abierto",Trades!$AE$4:$AE$140,"&gt;0")/B44,0)</f>
        <v>0</v>
      </c>
    </row>
    <row r="45" spans="1:9" x14ac:dyDescent="0.3">
      <c r="A45" s="11" t="s">
        <v>221</v>
      </c>
      <c r="B45" s="22">
        <f>(F42+F44)/F41</f>
        <v>0.75723631264667957</v>
      </c>
    </row>
    <row r="47" spans="1:9" x14ac:dyDescent="0.3">
      <c r="A47" s="5" t="s">
        <v>222</v>
      </c>
      <c r="B47" s="5" t="s">
        <v>79</v>
      </c>
    </row>
    <row r="48" spans="1:9" x14ac:dyDescent="0.3">
      <c r="A48" t="s">
        <v>223</v>
      </c>
      <c r="B48" s="35">
        <f>(MAX(Trades!$K$4:$K$140)-MIN(Trades!$D$4:$D$140))/365.25</f>
        <v>10.540725530458589</v>
      </c>
    </row>
    <row r="49" spans="1:2" x14ac:dyDescent="0.3">
      <c r="A49" t="s">
        <v>224</v>
      </c>
      <c r="B49" s="15">
        <f>F41</f>
        <v>0.54813802359833241</v>
      </c>
    </row>
    <row r="50" spans="1:2" x14ac:dyDescent="0.3">
      <c r="A50" t="s">
        <v>225</v>
      </c>
      <c r="B50" s="15">
        <f>COUNTIFS(Trades!$R$4:$R$140,"Abierto")*Parametros!$B$32</f>
        <v>2E-3</v>
      </c>
    </row>
    <row r="51" spans="1:2" x14ac:dyDescent="0.3">
      <c r="A51" t="s">
        <v>226</v>
      </c>
      <c r="B51" s="15">
        <f>B49+B50</f>
        <v>0.55013802359833242</v>
      </c>
    </row>
    <row r="52" spans="1:2" x14ac:dyDescent="0.3">
      <c r="A52" t="s">
        <v>227</v>
      </c>
      <c r="B52" s="15">
        <f>B51/Parametros!$B$33</f>
        <v>0.18337934119944413</v>
      </c>
    </row>
    <row r="53" spans="1:2" x14ac:dyDescent="0.3">
      <c r="A53" t="s">
        <v>228</v>
      </c>
      <c r="B53" s="15">
        <f>B52/B48</f>
        <v>1.7397221915090123E-2</v>
      </c>
    </row>
    <row r="54" spans="1:2" x14ac:dyDescent="0.3">
      <c r="A54" t="s">
        <v>229</v>
      </c>
      <c r="B54" s="23" t="str">
        <f>'Comparador exposicion'!C3</f>
        <v xml:space="preserve"> 17.9%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0BDC-CF6C-44AD-910D-5A4208A3CD61}">
  <dimension ref="A1:M73"/>
  <sheetViews>
    <sheetView workbookViewId="0">
      <selection activeCell="B7" sqref="B7"/>
    </sheetView>
  </sheetViews>
  <sheetFormatPr baseColWidth="10" defaultRowHeight="14.4" x14ac:dyDescent="0.3"/>
  <cols>
    <col min="1" max="1" width="37" customWidth="1"/>
    <col min="2" max="3" width="14.77734375" customWidth="1"/>
    <col min="4" max="4" width="42.5546875" customWidth="1"/>
    <col min="5" max="5" width="38.88671875" customWidth="1"/>
    <col min="6" max="13" width="14.77734375" customWidth="1"/>
  </cols>
  <sheetData>
    <row r="1" spans="1:13" ht="18" x14ac:dyDescent="0.35">
      <c r="A1" s="3" t="s">
        <v>148</v>
      </c>
    </row>
    <row r="2" spans="1:13" x14ac:dyDescent="0.3">
      <c r="A2" s="11" t="s">
        <v>149</v>
      </c>
    </row>
    <row r="4" spans="1:13" ht="28.8" x14ac:dyDescent="0.3">
      <c r="A4" s="12" t="s">
        <v>150</v>
      </c>
      <c r="B4" s="12" t="s">
        <v>79</v>
      </c>
      <c r="D4" s="12" t="s">
        <v>144</v>
      </c>
      <c r="E4" s="12" t="s">
        <v>157</v>
      </c>
      <c r="F4" s="12" t="s">
        <v>158</v>
      </c>
      <c r="G4" s="12" t="s">
        <v>159</v>
      </c>
    </row>
    <row r="5" spans="1:13" x14ac:dyDescent="0.3">
      <c r="A5" t="s">
        <v>151</v>
      </c>
      <c r="B5" s="21">
        <f>Parametros!B4</f>
        <v>10</v>
      </c>
      <c r="D5" t="s">
        <v>54</v>
      </c>
      <c r="E5">
        <f>COUNTIFS(Trades!$Y$4:$Y$140,"Sí",Trades!$N$4:$N$140,$D5)</f>
        <v>3</v>
      </c>
      <c r="F5" s="14">
        <f>IFERROR(AVERAGEIFS(Trades!$Z$4:$Z$140,Trades!$Y$4:$Y$140,"Sí",Trades!$N$4:$N$140,$D5),0)</f>
        <v>4.9355944461915081E-2</v>
      </c>
      <c r="G5" s="14">
        <f>SUMIFS(Trades!$Z$4:$Z$140,Trades!$Y$4:$Y$140,"Sí",Trades!$N$4:$N$140,$D5)</f>
        <v>0.14806783338574525</v>
      </c>
    </row>
    <row r="6" spans="1:13" x14ac:dyDescent="0.3">
      <c r="A6" t="s">
        <v>152</v>
      </c>
      <c r="B6">
        <f>COUNTIF(Trades!$Y$4:$Y$140,"Sí")</f>
        <v>6</v>
      </c>
      <c r="D6" t="s">
        <v>55</v>
      </c>
      <c r="E6">
        <f>COUNTIFS(Trades!$Y$4:$Y$140,"Sí",Trades!$N$4:$N$140,$D6)</f>
        <v>3</v>
      </c>
      <c r="F6" s="14">
        <f>IFERROR(AVERAGEIFS(Trades!$Z$4:$Z$140,Trades!$Y$4:$Y$140,"Sí",Trades!$N$4:$N$140,$D6),0)</f>
        <v>3.2854572356441736E-2</v>
      </c>
      <c r="G6" s="14">
        <f>SUMIFS(Trades!$Z$4:$Z$140,Trades!$Y$4:$Y$140,"Sí",Trades!$N$4:$N$140,$D6)</f>
        <v>9.8563717069325207E-2</v>
      </c>
    </row>
    <row r="7" spans="1:13" x14ac:dyDescent="0.3">
      <c r="A7" t="s">
        <v>153</v>
      </c>
      <c r="B7" s="22">
        <f>IFERROR(B6/COUNTIF(Trades!$R$4:$R$140,"&lt;&gt;Abierto"),0)</f>
        <v>4.4117647058823532E-2</v>
      </c>
      <c r="D7" t="s">
        <v>56</v>
      </c>
      <c r="E7">
        <f>COUNTIFS(Trades!$Y$4:$Y$140,"Sí",Trades!$N$4:$N$140,$D7)</f>
        <v>0</v>
      </c>
      <c r="F7" s="14">
        <f>IFERROR(AVERAGEIFS(Trades!$Z$4:$Z$140,Trades!$Y$4:$Y$140,"Sí",Trades!$N$4:$N$140,$D7),0)</f>
        <v>0</v>
      </c>
      <c r="G7" s="14">
        <f>SUMIFS(Trades!$Z$4:$Z$140,Trades!$Y$4:$Y$140,"Sí",Trades!$N$4:$N$140,$D7)</f>
        <v>0</v>
      </c>
    </row>
    <row r="8" spans="1:13" x14ac:dyDescent="0.3">
      <c r="A8" t="s">
        <v>154</v>
      </c>
      <c r="B8" s="14">
        <f>IFERROR(AVERAGEIF(Trades!$Y$4:$Y$140,"Sí",Trades!$Z$4:$Z$140),0)</f>
        <v>4.1105258409178412E-2</v>
      </c>
    </row>
    <row r="9" spans="1:13" x14ac:dyDescent="0.3">
      <c r="A9" t="s">
        <v>155</v>
      </c>
      <c r="B9" s="14">
        <f>SUMIF(Trades!$Y$4:$Y$140,"Sí",Trades!$Z$4:$Z$140)</f>
        <v>0.24663155045507046</v>
      </c>
    </row>
    <row r="10" spans="1:13" x14ac:dyDescent="0.3">
      <c r="A10" t="s">
        <v>156</v>
      </c>
      <c r="B10">
        <f>COUNTIFS(Trades!$Y$4:$Y$140,"Sí",Trades!$Z$4:$Z$140,"&gt;0")</f>
        <v>6</v>
      </c>
    </row>
    <row r="13" spans="1:13" ht="28.8" x14ac:dyDescent="0.3">
      <c r="A13" s="12" t="s">
        <v>160</v>
      </c>
      <c r="B13" s="12" t="s">
        <v>58</v>
      </c>
      <c r="C13" s="12" t="s">
        <v>103</v>
      </c>
      <c r="D13" s="12" t="s">
        <v>110</v>
      </c>
      <c r="E13" s="12" t="s">
        <v>113</v>
      </c>
      <c r="F13" s="12" t="s">
        <v>114</v>
      </c>
      <c r="G13" s="12" t="s">
        <v>111</v>
      </c>
      <c r="H13" s="12" t="s">
        <v>119</v>
      </c>
      <c r="I13" s="12" t="s">
        <v>121</v>
      </c>
      <c r="J13" s="12" t="s">
        <v>123</v>
      </c>
      <c r="K13" s="12" t="s">
        <v>122</v>
      </c>
      <c r="L13" s="12" t="s">
        <v>125</v>
      </c>
      <c r="M13" s="12" t="s">
        <v>161</v>
      </c>
    </row>
    <row r="14" spans="1:13" x14ac:dyDescent="0.3">
      <c r="A14" cm="1">
        <f t="array" ref="A14">IFERROR(_xlfn.AGGREGATE(15,6,(ROW(Trades!$Y$4:$Y$140)-3)/(Trades!$Y$4:$Y$140="Sí"),ROW()-13),"")</f>
        <v>72</v>
      </c>
      <c r="B14" s="16" t="str" cm="1">
        <f t="array" ref="B14">IF($A14="","",INDEX(Trades!$C:$C,$A14+3))</f>
        <v>XLRE</v>
      </c>
      <c r="C14" s="17" cm="1">
        <f t="array" ref="C14">IF($A14="","",INDEX(Trades!$D:$D,$A14+3))</f>
        <v>44491</v>
      </c>
      <c r="D14" s="17" cm="1">
        <f t="array" ref="D14">IF($A14="","",INDEX(Trades!$K:$K,$A14+3))</f>
        <v>44531</v>
      </c>
      <c r="E14" s="16" t="str" cm="1">
        <f t="array" ref="E14">IF($A14="","",INDEX(Trades!$N:$N,$A14+3))</f>
        <v>ruptura piso Donchian</v>
      </c>
      <c r="F14" s="16" cm="1">
        <f t="array" ref="F14">IF($A14="","",INDEX(Trades!$O:$O,$A14+3))</f>
        <v>4</v>
      </c>
      <c r="G14" s="19" cm="1">
        <f t="array" ref="G14">IF($A14="","",INDEX(Trades!$L:$L,$A14+3))</f>
        <v>39.79</v>
      </c>
      <c r="H14" s="18" cm="1">
        <f t="array" ref="H14">IF($A14="","",INDEX(Trades!$T:$T,$A14+3))</f>
        <v>-1.2655086848635144E-2</v>
      </c>
      <c r="I14" s="17" cm="1">
        <f t="array" ref="I14">IF($A14="","",INDEX(Trades!$V:$V,$A14+3))</f>
        <v>44537</v>
      </c>
      <c r="J14" s="19" cm="1">
        <f t="array" ref="J14">IF($A14="","",INDEX(Trades!$X:$X,$A14+3))</f>
        <v>41.99</v>
      </c>
      <c r="K14" s="16" cm="1">
        <f t="array" ref="K14">IF($A14="","",INDEX(Trades!$W:$W,$A14+3))</f>
        <v>6</v>
      </c>
      <c r="L14" s="18" cm="1">
        <f t="array" ref="L14">IF($A14="","",INDEX(Trades!$Z:$Z,$A14+3))</f>
        <v>5.5290273938175538E-2</v>
      </c>
      <c r="M14" s="18" cm="1">
        <f t="array" ref="M14">IF($A14="","",INDEX(Trades!$Q:$Q,$A14+3))</f>
        <v>-1.9226029085531171E-2</v>
      </c>
    </row>
    <row r="15" spans="1:13" x14ac:dyDescent="0.3">
      <c r="A15" cm="1">
        <f t="array" ref="A15">IFERROR(_xlfn.AGGREGATE(15,6,(ROW(Trades!$Y$4:$Y$140)-3)/(Trades!$Y$4:$Y$140="Sí"),ROW()-13),"")</f>
        <v>101</v>
      </c>
      <c r="B15" s="16" t="str" cm="1">
        <f t="array" ref="B15">IF($A15="","",INDEX(Trades!$C:$C,$A15+3))</f>
        <v>XLY</v>
      </c>
      <c r="C15" s="17" cm="1">
        <f t="array" ref="C15">IF($A15="","",INDEX(Trades!$D:$D,$A15+3))</f>
        <v>45244</v>
      </c>
      <c r="D15" s="17" cm="1">
        <f t="array" ref="D15">IF($A15="","",INDEX(Trades!$K:$K,$A15+3))</f>
        <v>45316</v>
      </c>
      <c r="E15" s="16" t="str" cm="1">
        <f t="array" ref="E15">IF($A15="","",INDEX(Trades!$N:$N,$A15+3))</f>
        <v>ruptura piso Donchian</v>
      </c>
      <c r="F15" s="16" cm="1">
        <f t="array" ref="F15">IF($A15="","",INDEX(Trades!$O:$O,$A15+3))</f>
        <v>3</v>
      </c>
      <c r="G15" s="19" cm="1">
        <f t="array" ref="G15">IF($A15="","",INDEX(Trades!$L:$L,$A15+3))</f>
        <v>83.68</v>
      </c>
      <c r="H15" s="18" cm="1">
        <f t="array" ref="H15">IF($A15="","",INDEX(Trades!$T:$T,$A15+3))</f>
        <v>-3.5838012184907786E-4</v>
      </c>
      <c r="I15" s="17" cm="1">
        <f t="array" ref="I15">IF($A15="","",INDEX(Trades!$V:$V,$A15+3))</f>
        <v>45324</v>
      </c>
      <c r="J15" s="19" cm="1">
        <f t="array" ref="J15">IF($A15="","",INDEX(Trades!$X:$X,$A15+3))</f>
        <v>86.83</v>
      </c>
      <c r="K15" s="16" cm="1">
        <f t="array" ref="K15">IF($A15="","",INDEX(Trades!$W:$W,$A15+3))</f>
        <v>8</v>
      </c>
      <c r="L15" s="18" cm="1">
        <f t="array" ref="L15">IF($A15="","",INDEX(Trades!$Z:$Z,$A15+3))</f>
        <v>3.7643403441682599E-2</v>
      </c>
      <c r="M15" s="18" cm="1">
        <f t="array" ref="M15">IF($A15="","",INDEX(Trades!$Q:$Q,$A15+3))</f>
        <v>2.1733821733821657E-2</v>
      </c>
    </row>
    <row r="16" spans="1:13" x14ac:dyDescent="0.3">
      <c r="A16" cm="1">
        <f t="array" ref="A16">IFERROR(_xlfn.AGGREGATE(15,6,(ROW(Trades!$Y$4:$Y$140)-3)/(Trades!$Y$4:$Y$140="Sí"),ROW()-13),"")</f>
        <v>108</v>
      </c>
      <c r="B16" s="16" t="str" cm="1">
        <f t="array" ref="B16">IF($A16="","",INDEX(Trades!$C:$C,$A16+3))</f>
        <v>XLC</v>
      </c>
      <c r="C16" s="17" cm="1">
        <f t="array" ref="C16">IF($A16="","",INDEX(Trades!$D:$D,$A16+3))</f>
        <v>45554</v>
      </c>
      <c r="D16" s="17" cm="1">
        <f t="array" ref="D16">IF($A16="","",INDEX(Trades!$K:$K,$A16+3))</f>
        <v>45586</v>
      </c>
      <c r="E16" s="16" t="str" cm="1">
        <f t="array" ref="E16">IF($A16="","",INDEX(Trades!$N:$N,$A16+3))</f>
        <v>cae del ranking (&gt;#5)</v>
      </c>
      <c r="F16" s="16" cm="1">
        <f t="array" ref="F16">IF($A16="","",INDEX(Trades!$O:$O,$A16+3))</f>
        <v>6</v>
      </c>
      <c r="G16" s="19" cm="1">
        <f t="array" ref="G16">IF($A16="","",INDEX(Trades!$L:$L,$A16+3))</f>
        <v>89.03</v>
      </c>
      <c r="H16" s="18" t="str" cm="1">
        <f t="array" ref="H16">IF($A16="","",INDEX(Trades!$T:$T,$A16+3))</f>
        <v/>
      </c>
      <c r="I16" s="17" cm="1">
        <f t="array" ref="I16">IF($A16="","",INDEX(Trades!$V:$V,$A16+3))</f>
        <v>45594</v>
      </c>
      <c r="J16" s="19" cm="1">
        <f t="array" ref="J16">IF($A16="","",INDEX(Trades!$X:$X,$A16+3))</f>
        <v>90.42</v>
      </c>
      <c r="K16" s="16" cm="1">
        <f t="array" ref="K16">IF($A16="","",INDEX(Trades!$W:$W,$A16+3))</f>
        <v>8</v>
      </c>
      <c r="L16" s="18" cm="1">
        <f t="array" ref="L16">IF($A16="","",INDEX(Trades!$Z:$Z,$A16+3))</f>
        <v>1.5612714815230744E-2</v>
      </c>
      <c r="M16" s="18" cm="1">
        <f t="array" ref="M16">IF($A16="","",INDEX(Trades!$Q:$Q,$A16+3))</f>
        <v>2.5336865138776865E-2</v>
      </c>
    </row>
    <row r="17" spans="1:13" x14ac:dyDescent="0.3">
      <c r="A17" cm="1">
        <f t="array" ref="A17">IFERROR(_xlfn.AGGREGATE(15,6,(ROW(Trades!$Y$4:$Y$140)-3)/(Trades!$Y$4:$Y$140="Sí"),ROW()-13),"")</f>
        <v>109</v>
      </c>
      <c r="B17" s="16" t="str" cm="1">
        <f t="array" ref="B17">IF($A17="","",INDEX(Trades!$C:$C,$A17+3))</f>
        <v>XLK</v>
      </c>
      <c r="C17" s="17" cm="1">
        <f t="array" ref="C17">IF($A17="","",INDEX(Trades!$D:$D,$A17+3))</f>
        <v>45561</v>
      </c>
      <c r="D17" s="17" cm="1">
        <f t="array" ref="D17">IF($A17="","",INDEX(Trades!$K:$K,$A17+3))</f>
        <v>45567</v>
      </c>
      <c r="E17" s="16" t="str" cm="1">
        <f t="array" ref="E17">IF($A17="","",INDEX(Trades!$N:$N,$A17+3))</f>
        <v>cae del ranking (&gt;#5)</v>
      </c>
      <c r="F17" s="16" cm="1">
        <f t="array" ref="F17">IF($A17="","",INDEX(Trades!$O:$O,$A17+3))</f>
        <v>6</v>
      </c>
      <c r="G17" s="19" cm="1">
        <f t="array" ref="G17">IF($A17="","",INDEX(Trades!$L:$L,$A17+3))</f>
        <v>109.81</v>
      </c>
      <c r="H17" s="18" t="str" cm="1">
        <f t="array" ref="H17">IF($A17="","",INDEX(Trades!$T:$T,$A17+3))</f>
        <v/>
      </c>
      <c r="I17" s="17" cm="1">
        <f t="array" ref="I17">IF($A17="","",INDEX(Trades!$V:$V,$A17+3))</f>
        <v>45574</v>
      </c>
      <c r="J17" s="19" cm="1">
        <f t="array" ref="J17">IF($A17="","",INDEX(Trades!$X:$X,$A17+3))</f>
        <v>114.06</v>
      </c>
      <c r="K17" s="16" cm="1">
        <f t="array" ref="K17">IF($A17="","",INDEX(Trades!$W:$W,$A17+3))</f>
        <v>7</v>
      </c>
      <c r="L17" s="18" cm="1">
        <f t="array" ref="L17">IF($A17="","",INDEX(Trades!$Z:$Z,$A17+3))</f>
        <v>3.8703214643475148E-2</v>
      </c>
      <c r="M17" s="18" cm="1">
        <f t="array" ref="M17">IF($A17="","",INDEX(Trades!$Q:$Q,$A17+3))</f>
        <v>-2.3477100933748329E-2</v>
      </c>
    </row>
    <row r="18" spans="1:13" x14ac:dyDescent="0.3">
      <c r="A18" cm="1">
        <f t="array" ref="A18">IFERROR(_xlfn.AGGREGATE(15,6,(ROW(Trades!$Y$4:$Y$140)-3)/(Trades!$Y$4:$Y$140="Sí"),ROW()-13),"")</f>
        <v>119</v>
      </c>
      <c r="B18" s="16" t="str" cm="1">
        <f t="array" ref="B18">IF($A18="","",INDEX(Trades!$C:$C,$A18+3))</f>
        <v>XLU</v>
      </c>
      <c r="C18" s="17" cm="1">
        <f t="array" ref="C18">IF($A18="","",INDEX(Trades!$D:$D,$A18+3))</f>
        <v>45783</v>
      </c>
      <c r="D18" s="17" cm="1">
        <f t="array" ref="D18">IF($A18="","",INDEX(Trades!$K:$K,$A18+3))</f>
        <v>45866</v>
      </c>
      <c r="E18" s="16" t="str" cm="1">
        <f t="array" ref="E18">IF($A18="","",INDEX(Trades!$N:$N,$A18+3))</f>
        <v>cae del ranking (&gt;#5)</v>
      </c>
      <c r="F18" s="16" cm="1">
        <f t="array" ref="F18">IF($A18="","",INDEX(Trades!$O:$O,$A18+3))</f>
        <v>6</v>
      </c>
      <c r="G18" s="19" cm="1">
        <f t="array" ref="G18">IF($A18="","",INDEX(Trades!$L:$L,$A18+3))</f>
        <v>40.68</v>
      </c>
      <c r="H18" s="18" t="str" cm="1">
        <f t="array" ref="H18">IF($A18="","",INDEX(Trades!$T:$T,$A18+3))</f>
        <v/>
      </c>
      <c r="I18" s="17" cm="1">
        <f t="array" ref="I18">IF($A18="","",INDEX(Trades!$V:$V,$A18+3))</f>
        <v>45873</v>
      </c>
      <c r="J18" s="19" cm="1">
        <f t="array" ref="J18">IF($A18="","",INDEX(Trades!$X:$X,$A18+3))</f>
        <v>42.48</v>
      </c>
      <c r="K18" s="16" cm="1">
        <f t="array" ref="K18">IF($A18="","",INDEX(Trades!$W:$W,$A18+3))</f>
        <v>7</v>
      </c>
      <c r="L18" s="18" cm="1">
        <f t="array" ref="L18">IF($A18="","",INDEX(Trades!$Z:$Z,$A18+3))</f>
        <v>4.4247787610619316E-2</v>
      </c>
      <c r="M18" s="18" cm="1">
        <f t="array" ref="M18">IF($A18="","",INDEX(Trades!$Q:$Q,$A18+3))</f>
        <v>4.5758354755784048E-2</v>
      </c>
    </row>
    <row r="19" spans="1:13" x14ac:dyDescent="0.3">
      <c r="A19" cm="1">
        <f t="array" ref="A19">IFERROR(_xlfn.AGGREGATE(15,6,(ROW(Trades!$Y$4:$Y$140)-3)/(Trades!$Y$4:$Y$140="Sí"),ROW()-13),"")</f>
        <v>134</v>
      </c>
      <c r="B19" s="16" t="str" cm="1">
        <f t="array" ref="B19">IF($A19="","",INDEX(Trades!$C:$C,$A19+3))</f>
        <v>XLI</v>
      </c>
      <c r="C19" s="17" cm="1">
        <f t="array" ref="C19">IF($A19="","",INDEX(Trades!$D:$D,$A19+3))</f>
        <v>46188</v>
      </c>
      <c r="D19" s="17" cm="1">
        <f t="array" ref="D19">IF($A19="","",INDEX(Trades!$K:$K,$A19+3))</f>
        <v>46232</v>
      </c>
      <c r="E19" s="16" t="str" cm="1">
        <f t="array" ref="E19">IF($A19="","",INDEX(Trades!$N:$N,$A19+3))</f>
        <v>ruptura piso Donchian</v>
      </c>
      <c r="F19" s="16" cm="1">
        <f t="array" ref="F19">IF($A19="","",INDEX(Trades!$O:$O,$A19+3))</f>
        <v>4</v>
      </c>
      <c r="G19" s="19" cm="1">
        <f t="array" ref="G19">IF($A19="","",INDEX(Trades!$L:$L,$A19+3))</f>
        <v>176.66</v>
      </c>
      <c r="H19" s="18" cm="1">
        <f t="array" ref="H19">IF($A19="","",INDEX(Trades!$T:$T,$A19+3))</f>
        <v>-5.2367813503012561E-3</v>
      </c>
      <c r="I19" s="17" cm="1">
        <f t="array" ref="I19">IF($A19="","",INDEX(Trades!$V:$V,$A19+3))</f>
        <v>46238</v>
      </c>
      <c r="J19" s="19" cm="1">
        <f t="array" ref="J19">IF($A19="","",INDEX(Trades!$X:$X,$A19+3))</f>
        <v>186.4</v>
      </c>
      <c r="K19" s="16" cm="1">
        <f t="array" ref="K19">IF($A19="","",INDEX(Trades!$W:$W,$A19+3))</f>
        <v>6</v>
      </c>
      <c r="L19" s="18" cm="1">
        <f t="array" ref="L19">IF($A19="","",INDEX(Trades!$Z:$Z,$A19+3))</f>
        <v>5.5134156005887114E-2</v>
      </c>
      <c r="M19" s="18" cm="1">
        <f t="array" ref="M19">IF($A19="","",INDEX(Trades!$Q:$Q,$A19+3))</f>
        <v>-8.8644524236984878E-3</v>
      </c>
    </row>
    <row r="20" spans="1:13" x14ac:dyDescent="0.3">
      <c r="A20" t="str" cm="1">
        <f t="array" ref="A20">IFERROR(_xlfn.AGGREGATE(15,6,(ROW(Trades!$Y$4:$Y$140)-3)/(Trades!$Y$4:$Y$140="Sí"),ROW()-13),"")</f>
        <v/>
      </c>
      <c r="B20" s="16" t="str" cm="1">
        <f t="array" ref="B20">IF($A20="","",INDEX(Trades!$C:$C,$A20+3))</f>
        <v/>
      </c>
      <c r="C20" s="17" t="str" cm="1">
        <f t="array" ref="C20">IF($A20="","",INDEX(Trades!$D:$D,$A20+3))</f>
        <v/>
      </c>
      <c r="D20" s="17" t="str" cm="1">
        <f t="array" ref="D20">IF($A20="","",INDEX(Trades!$K:$K,$A20+3))</f>
        <v/>
      </c>
      <c r="E20" s="16" t="str" cm="1">
        <f t="array" ref="E20">IF($A20="","",INDEX(Trades!$N:$N,$A20+3))</f>
        <v/>
      </c>
      <c r="F20" s="16" t="str" cm="1">
        <f t="array" ref="F20">IF($A20="","",INDEX(Trades!$O:$O,$A20+3))</f>
        <v/>
      </c>
      <c r="G20" s="19" t="str" cm="1">
        <f t="array" ref="G20">IF($A20="","",INDEX(Trades!$L:$L,$A20+3))</f>
        <v/>
      </c>
      <c r="H20" s="18" t="str" cm="1">
        <f t="array" ref="H20">IF($A20="","",INDEX(Trades!$T:$T,$A20+3))</f>
        <v/>
      </c>
      <c r="I20" s="17" t="str" cm="1">
        <f t="array" ref="I20">IF($A20="","",INDEX(Trades!$V:$V,$A20+3))</f>
        <v/>
      </c>
      <c r="J20" s="19" t="str" cm="1">
        <f t="array" ref="J20">IF($A20="","",INDEX(Trades!$X:$X,$A20+3))</f>
        <v/>
      </c>
      <c r="K20" s="16" t="str" cm="1">
        <f t="array" ref="K20">IF($A20="","",INDEX(Trades!$W:$W,$A20+3))</f>
        <v/>
      </c>
      <c r="L20" s="18" t="str" cm="1">
        <f t="array" ref="L20">IF($A20="","",INDEX(Trades!$Z:$Z,$A20+3))</f>
        <v/>
      </c>
      <c r="M20" s="18" t="str" cm="1">
        <f t="array" ref="M20">IF($A20="","",INDEX(Trades!$Q:$Q,$A20+3))</f>
        <v/>
      </c>
    </row>
    <row r="21" spans="1:13" x14ac:dyDescent="0.3">
      <c r="A21" t="str" cm="1">
        <f t="array" ref="A21">IFERROR(_xlfn.AGGREGATE(15,6,(ROW(Trades!$Y$4:$Y$140)-3)/(Trades!$Y$4:$Y$140="Sí"),ROW()-13),"")</f>
        <v/>
      </c>
      <c r="B21" s="16" t="str" cm="1">
        <f t="array" ref="B21">IF($A21="","",INDEX(Trades!$C:$C,$A21+3))</f>
        <v/>
      </c>
      <c r="C21" s="17" t="str" cm="1">
        <f t="array" ref="C21">IF($A21="","",INDEX(Trades!$D:$D,$A21+3))</f>
        <v/>
      </c>
      <c r="D21" s="17" t="str" cm="1">
        <f t="array" ref="D21">IF($A21="","",INDEX(Trades!$K:$K,$A21+3))</f>
        <v/>
      </c>
      <c r="E21" s="16" t="str" cm="1">
        <f t="array" ref="E21">IF($A21="","",INDEX(Trades!$N:$N,$A21+3))</f>
        <v/>
      </c>
      <c r="F21" s="16" t="str" cm="1">
        <f t="array" ref="F21">IF($A21="","",INDEX(Trades!$O:$O,$A21+3))</f>
        <v/>
      </c>
      <c r="G21" s="19" t="str" cm="1">
        <f t="array" ref="G21">IF($A21="","",INDEX(Trades!$L:$L,$A21+3))</f>
        <v/>
      </c>
      <c r="H21" s="18" t="str" cm="1">
        <f t="array" ref="H21">IF($A21="","",INDEX(Trades!$T:$T,$A21+3))</f>
        <v/>
      </c>
      <c r="I21" s="17" t="str" cm="1">
        <f t="array" ref="I21">IF($A21="","",INDEX(Trades!$V:$V,$A21+3))</f>
        <v/>
      </c>
      <c r="J21" s="19" t="str" cm="1">
        <f t="array" ref="J21">IF($A21="","",INDEX(Trades!$X:$X,$A21+3))</f>
        <v/>
      </c>
      <c r="K21" s="16" t="str" cm="1">
        <f t="array" ref="K21">IF($A21="","",INDEX(Trades!$W:$W,$A21+3))</f>
        <v/>
      </c>
      <c r="L21" s="18" t="str" cm="1">
        <f t="array" ref="L21">IF($A21="","",INDEX(Trades!$Z:$Z,$A21+3))</f>
        <v/>
      </c>
      <c r="M21" s="18" t="str" cm="1">
        <f t="array" ref="M21">IF($A21="","",INDEX(Trades!$Q:$Q,$A21+3))</f>
        <v/>
      </c>
    </row>
    <row r="22" spans="1:13" x14ac:dyDescent="0.3">
      <c r="A22" t="str" cm="1">
        <f t="array" ref="A22">IFERROR(_xlfn.AGGREGATE(15,6,(ROW(Trades!$Y$4:$Y$140)-3)/(Trades!$Y$4:$Y$140="Sí"),ROW()-13),"")</f>
        <v/>
      </c>
      <c r="B22" s="16" t="str" cm="1">
        <f t="array" ref="B22">IF($A22="","",INDEX(Trades!$C:$C,$A22+3))</f>
        <v/>
      </c>
      <c r="C22" s="17" t="str" cm="1">
        <f t="array" ref="C22">IF($A22="","",INDEX(Trades!$D:$D,$A22+3))</f>
        <v/>
      </c>
      <c r="D22" s="17" t="str" cm="1">
        <f t="array" ref="D22">IF($A22="","",INDEX(Trades!$K:$K,$A22+3))</f>
        <v/>
      </c>
      <c r="E22" s="16" t="str" cm="1">
        <f t="array" ref="E22">IF($A22="","",INDEX(Trades!$N:$N,$A22+3))</f>
        <v/>
      </c>
      <c r="F22" s="16" t="str" cm="1">
        <f t="array" ref="F22">IF($A22="","",INDEX(Trades!$O:$O,$A22+3))</f>
        <v/>
      </c>
      <c r="G22" s="19" t="str" cm="1">
        <f t="array" ref="G22">IF($A22="","",INDEX(Trades!$L:$L,$A22+3))</f>
        <v/>
      </c>
      <c r="H22" s="18" t="str" cm="1">
        <f t="array" ref="H22">IF($A22="","",INDEX(Trades!$T:$T,$A22+3))</f>
        <v/>
      </c>
      <c r="I22" s="17" t="str" cm="1">
        <f t="array" ref="I22">IF($A22="","",INDEX(Trades!$V:$V,$A22+3))</f>
        <v/>
      </c>
      <c r="J22" s="19" t="str" cm="1">
        <f t="array" ref="J22">IF($A22="","",INDEX(Trades!$X:$X,$A22+3))</f>
        <v/>
      </c>
      <c r="K22" s="16" t="str" cm="1">
        <f t="array" ref="K22">IF($A22="","",INDEX(Trades!$W:$W,$A22+3))</f>
        <v/>
      </c>
      <c r="L22" s="18" t="str" cm="1">
        <f t="array" ref="L22">IF($A22="","",INDEX(Trades!$Z:$Z,$A22+3))</f>
        <v/>
      </c>
      <c r="M22" s="18" t="str" cm="1">
        <f t="array" ref="M22">IF($A22="","",INDEX(Trades!$Q:$Q,$A22+3))</f>
        <v/>
      </c>
    </row>
    <row r="23" spans="1:13" x14ac:dyDescent="0.3">
      <c r="A23" t="str" cm="1">
        <f t="array" ref="A23">IFERROR(_xlfn.AGGREGATE(15,6,(ROW(Trades!$Y$4:$Y$140)-3)/(Trades!$Y$4:$Y$140="Sí"),ROW()-13),"")</f>
        <v/>
      </c>
      <c r="B23" s="16" t="str" cm="1">
        <f t="array" ref="B23">IF($A23="","",INDEX(Trades!$C:$C,$A23+3))</f>
        <v/>
      </c>
      <c r="C23" s="17" t="str" cm="1">
        <f t="array" ref="C23">IF($A23="","",INDEX(Trades!$D:$D,$A23+3))</f>
        <v/>
      </c>
      <c r="D23" s="17" t="str" cm="1">
        <f t="array" ref="D23">IF($A23="","",INDEX(Trades!$K:$K,$A23+3))</f>
        <v/>
      </c>
      <c r="E23" s="16" t="str" cm="1">
        <f t="array" ref="E23">IF($A23="","",INDEX(Trades!$N:$N,$A23+3))</f>
        <v/>
      </c>
      <c r="F23" s="16" t="str" cm="1">
        <f t="array" ref="F23">IF($A23="","",INDEX(Trades!$O:$O,$A23+3))</f>
        <v/>
      </c>
      <c r="G23" s="19" t="str" cm="1">
        <f t="array" ref="G23">IF($A23="","",INDEX(Trades!$L:$L,$A23+3))</f>
        <v/>
      </c>
      <c r="H23" s="18" t="str" cm="1">
        <f t="array" ref="H23">IF($A23="","",INDEX(Trades!$T:$T,$A23+3))</f>
        <v/>
      </c>
      <c r="I23" s="17" t="str" cm="1">
        <f t="array" ref="I23">IF($A23="","",INDEX(Trades!$V:$V,$A23+3))</f>
        <v/>
      </c>
      <c r="J23" s="19" t="str" cm="1">
        <f t="array" ref="J23">IF($A23="","",INDEX(Trades!$X:$X,$A23+3))</f>
        <v/>
      </c>
      <c r="K23" s="16" t="str" cm="1">
        <f t="array" ref="K23">IF($A23="","",INDEX(Trades!$W:$W,$A23+3))</f>
        <v/>
      </c>
      <c r="L23" s="18" t="str" cm="1">
        <f t="array" ref="L23">IF($A23="","",INDEX(Trades!$Z:$Z,$A23+3))</f>
        <v/>
      </c>
      <c r="M23" s="18" t="str" cm="1">
        <f t="array" ref="M23">IF($A23="","",INDEX(Trades!$Q:$Q,$A23+3))</f>
        <v/>
      </c>
    </row>
    <row r="24" spans="1:13" x14ac:dyDescent="0.3">
      <c r="A24" t="str" cm="1">
        <f t="array" ref="A24">IFERROR(_xlfn.AGGREGATE(15,6,(ROW(Trades!$Y$4:$Y$140)-3)/(Trades!$Y$4:$Y$140="Sí"),ROW()-13),"")</f>
        <v/>
      </c>
      <c r="B24" s="16" t="str" cm="1">
        <f t="array" ref="B24">IF($A24="","",INDEX(Trades!$C:$C,$A24+3))</f>
        <v/>
      </c>
      <c r="C24" s="17" t="str" cm="1">
        <f t="array" ref="C24">IF($A24="","",INDEX(Trades!$D:$D,$A24+3))</f>
        <v/>
      </c>
      <c r="D24" s="17" t="str" cm="1">
        <f t="array" ref="D24">IF($A24="","",INDEX(Trades!$K:$K,$A24+3))</f>
        <v/>
      </c>
      <c r="E24" s="16" t="str" cm="1">
        <f t="array" ref="E24">IF($A24="","",INDEX(Trades!$N:$N,$A24+3))</f>
        <v/>
      </c>
      <c r="F24" s="16" t="str" cm="1">
        <f t="array" ref="F24">IF($A24="","",INDEX(Trades!$O:$O,$A24+3))</f>
        <v/>
      </c>
      <c r="G24" s="19" t="str" cm="1">
        <f t="array" ref="G24">IF($A24="","",INDEX(Trades!$L:$L,$A24+3))</f>
        <v/>
      </c>
      <c r="H24" s="18" t="str" cm="1">
        <f t="array" ref="H24">IF($A24="","",INDEX(Trades!$T:$T,$A24+3))</f>
        <v/>
      </c>
      <c r="I24" s="17" t="str" cm="1">
        <f t="array" ref="I24">IF($A24="","",INDEX(Trades!$V:$V,$A24+3))</f>
        <v/>
      </c>
      <c r="J24" s="19" t="str" cm="1">
        <f t="array" ref="J24">IF($A24="","",INDEX(Trades!$X:$X,$A24+3))</f>
        <v/>
      </c>
      <c r="K24" s="16" t="str" cm="1">
        <f t="array" ref="K24">IF($A24="","",INDEX(Trades!$W:$W,$A24+3))</f>
        <v/>
      </c>
      <c r="L24" s="18" t="str" cm="1">
        <f t="array" ref="L24">IF($A24="","",INDEX(Trades!$Z:$Z,$A24+3))</f>
        <v/>
      </c>
      <c r="M24" s="18" t="str" cm="1">
        <f t="array" ref="M24">IF($A24="","",INDEX(Trades!$Q:$Q,$A24+3))</f>
        <v/>
      </c>
    </row>
    <row r="25" spans="1:13" x14ac:dyDescent="0.3">
      <c r="A25" t="str" cm="1">
        <f t="array" ref="A25">IFERROR(_xlfn.AGGREGATE(15,6,(ROW(Trades!$Y$4:$Y$140)-3)/(Trades!$Y$4:$Y$140="Sí"),ROW()-13),"")</f>
        <v/>
      </c>
      <c r="B25" s="16" t="str" cm="1">
        <f t="array" ref="B25">IF($A25="","",INDEX(Trades!$C:$C,$A25+3))</f>
        <v/>
      </c>
      <c r="C25" s="17" t="str" cm="1">
        <f t="array" ref="C25">IF($A25="","",INDEX(Trades!$D:$D,$A25+3))</f>
        <v/>
      </c>
      <c r="D25" s="17" t="str" cm="1">
        <f t="array" ref="D25">IF($A25="","",INDEX(Trades!$K:$K,$A25+3))</f>
        <v/>
      </c>
      <c r="E25" s="16" t="str" cm="1">
        <f t="array" ref="E25">IF($A25="","",INDEX(Trades!$N:$N,$A25+3))</f>
        <v/>
      </c>
      <c r="F25" s="16" t="str" cm="1">
        <f t="array" ref="F25">IF($A25="","",INDEX(Trades!$O:$O,$A25+3))</f>
        <v/>
      </c>
      <c r="G25" s="19" t="str" cm="1">
        <f t="array" ref="G25">IF($A25="","",INDEX(Trades!$L:$L,$A25+3))</f>
        <v/>
      </c>
      <c r="H25" s="18" t="str" cm="1">
        <f t="array" ref="H25">IF($A25="","",INDEX(Trades!$T:$T,$A25+3))</f>
        <v/>
      </c>
      <c r="I25" s="17" t="str" cm="1">
        <f t="array" ref="I25">IF($A25="","",INDEX(Trades!$V:$V,$A25+3))</f>
        <v/>
      </c>
      <c r="J25" s="19" t="str" cm="1">
        <f t="array" ref="J25">IF($A25="","",INDEX(Trades!$X:$X,$A25+3))</f>
        <v/>
      </c>
      <c r="K25" s="16" t="str" cm="1">
        <f t="array" ref="K25">IF($A25="","",INDEX(Trades!$W:$W,$A25+3))</f>
        <v/>
      </c>
      <c r="L25" s="18" t="str" cm="1">
        <f t="array" ref="L25">IF($A25="","",INDEX(Trades!$Z:$Z,$A25+3))</f>
        <v/>
      </c>
      <c r="M25" s="18" t="str" cm="1">
        <f t="array" ref="M25">IF($A25="","",INDEX(Trades!$Q:$Q,$A25+3))</f>
        <v/>
      </c>
    </row>
    <row r="26" spans="1:13" x14ac:dyDescent="0.3">
      <c r="A26" t="str" cm="1">
        <f t="array" ref="A26">IFERROR(_xlfn.AGGREGATE(15,6,(ROW(Trades!$Y$4:$Y$140)-3)/(Trades!$Y$4:$Y$140="Sí"),ROW()-13),"")</f>
        <v/>
      </c>
      <c r="B26" s="16" t="str" cm="1">
        <f t="array" ref="B26">IF($A26="","",INDEX(Trades!$C:$C,$A26+3))</f>
        <v/>
      </c>
      <c r="C26" s="17" t="str" cm="1">
        <f t="array" ref="C26">IF($A26="","",INDEX(Trades!$D:$D,$A26+3))</f>
        <v/>
      </c>
      <c r="D26" s="17" t="str" cm="1">
        <f t="array" ref="D26">IF($A26="","",INDEX(Trades!$K:$K,$A26+3))</f>
        <v/>
      </c>
      <c r="E26" s="16" t="str" cm="1">
        <f t="array" ref="E26">IF($A26="","",INDEX(Trades!$N:$N,$A26+3))</f>
        <v/>
      </c>
      <c r="F26" s="16" t="str" cm="1">
        <f t="array" ref="F26">IF($A26="","",INDEX(Trades!$O:$O,$A26+3))</f>
        <v/>
      </c>
      <c r="G26" s="19" t="str" cm="1">
        <f t="array" ref="G26">IF($A26="","",INDEX(Trades!$L:$L,$A26+3))</f>
        <v/>
      </c>
      <c r="H26" s="18" t="str" cm="1">
        <f t="array" ref="H26">IF($A26="","",INDEX(Trades!$T:$T,$A26+3))</f>
        <v/>
      </c>
      <c r="I26" s="17" t="str" cm="1">
        <f t="array" ref="I26">IF($A26="","",INDEX(Trades!$V:$V,$A26+3))</f>
        <v/>
      </c>
      <c r="J26" s="19" t="str" cm="1">
        <f t="array" ref="J26">IF($A26="","",INDEX(Trades!$X:$X,$A26+3))</f>
        <v/>
      </c>
      <c r="K26" s="16" t="str" cm="1">
        <f t="array" ref="K26">IF($A26="","",INDEX(Trades!$W:$W,$A26+3))</f>
        <v/>
      </c>
      <c r="L26" s="18" t="str" cm="1">
        <f t="array" ref="L26">IF($A26="","",INDEX(Trades!$Z:$Z,$A26+3))</f>
        <v/>
      </c>
      <c r="M26" s="18" t="str" cm="1">
        <f t="array" ref="M26">IF($A26="","",INDEX(Trades!$Q:$Q,$A26+3))</f>
        <v/>
      </c>
    </row>
    <row r="27" spans="1:13" x14ac:dyDescent="0.3">
      <c r="A27" t="str" cm="1">
        <f t="array" ref="A27">IFERROR(_xlfn.AGGREGATE(15,6,(ROW(Trades!$Y$4:$Y$140)-3)/(Trades!$Y$4:$Y$140="Sí"),ROW()-13),"")</f>
        <v/>
      </c>
      <c r="B27" s="16" t="str" cm="1">
        <f t="array" ref="B27">IF($A27="","",INDEX(Trades!$C:$C,$A27+3))</f>
        <v/>
      </c>
      <c r="C27" s="17" t="str" cm="1">
        <f t="array" ref="C27">IF($A27="","",INDEX(Trades!$D:$D,$A27+3))</f>
        <v/>
      </c>
      <c r="D27" s="17" t="str" cm="1">
        <f t="array" ref="D27">IF($A27="","",INDEX(Trades!$K:$K,$A27+3))</f>
        <v/>
      </c>
      <c r="E27" s="16" t="str" cm="1">
        <f t="array" ref="E27">IF($A27="","",INDEX(Trades!$N:$N,$A27+3))</f>
        <v/>
      </c>
      <c r="F27" s="16" t="str" cm="1">
        <f t="array" ref="F27">IF($A27="","",INDEX(Trades!$O:$O,$A27+3))</f>
        <v/>
      </c>
      <c r="G27" s="19" t="str" cm="1">
        <f t="array" ref="G27">IF($A27="","",INDEX(Trades!$L:$L,$A27+3))</f>
        <v/>
      </c>
      <c r="H27" s="18" t="str" cm="1">
        <f t="array" ref="H27">IF($A27="","",INDEX(Trades!$T:$T,$A27+3))</f>
        <v/>
      </c>
      <c r="I27" s="17" t="str" cm="1">
        <f t="array" ref="I27">IF($A27="","",INDEX(Trades!$V:$V,$A27+3))</f>
        <v/>
      </c>
      <c r="J27" s="19" t="str" cm="1">
        <f t="array" ref="J27">IF($A27="","",INDEX(Trades!$X:$X,$A27+3))</f>
        <v/>
      </c>
      <c r="K27" s="16" t="str" cm="1">
        <f t="array" ref="K27">IF($A27="","",INDEX(Trades!$W:$W,$A27+3))</f>
        <v/>
      </c>
      <c r="L27" s="18" t="str" cm="1">
        <f t="array" ref="L27">IF($A27="","",INDEX(Trades!$Z:$Z,$A27+3))</f>
        <v/>
      </c>
      <c r="M27" s="18" t="str" cm="1">
        <f t="array" ref="M27">IF($A27="","",INDEX(Trades!$Q:$Q,$A27+3))</f>
        <v/>
      </c>
    </row>
    <row r="28" spans="1:13" x14ac:dyDescent="0.3">
      <c r="A28" t="str" cm="1">
        <f t="array" ref="A28">IFERROR(_xlfn.AGGREGATE(15,6,(ROW(Trades!$Y$4:$Y$140)-3)/(Trades!$Y$4:$Y$140="Sí"),ROW()-13),"")</f>
        <v/>
      </c>
      <c r="B28" s="16" t="str" cm="1">
        <f t="array" ref="B28">IF($A28="","",INDEX(Trades!$C:$C,$A28+3))</f>
        <v/>
      </c>
      <c r="C28" s="17" t="str" cm="1">
        <f t="array" ref="C28">IF($A28="","",INDEX(Trades!$D:$D,$A28+3))</f>
        <v/>
      </c>
      <c r="D28" s="17" t="str" cm="1">
        <f t="array" ref="D28">IF($A28="","",INDEX(Trades!$K:$K,$A28+3))</f>
        <v/>
      </c>
      <c r="E28" s="16" t="str" cm="1">
        <f t="array" ref="E28">IF($A28="","",INDEX(Trades!$N:$N,$A28+3))</f>
        <v/>
      </c>
      <c r="F28" s="16" t="str" cm="1">
        <f t="array" ref="F28">IF($A28="","",INDEX(Trades!$O:$O,$A28+3))</f>
        <v/>
      </c>
      <c r="G28" s="19" t="str" cm="1">
        <f t="array" ref="G28">IF($A28="","",INDEX(Trades!$L:$L,$A28+3))</f>
        <v/>
      </c>
      <c r="H28" s="18" t="str" cm="1">
        <f t="array" ref="H28">IF($A28="","",INDEX(Trades!$T:$T,$A28+3))</f>
        <v/>
      </c>
      <c r="I28" s="17" t="str" cm="1">
        <f t="array" ref="I28">IF($A28="","",INDEX(Trades!$V:$V,$A28+3))</f>
        <v/>
      </c>
      <c r="J28" s="19" t="str" cm="1">
        <f t="array" ref="J28">IF($A28="","",INDEX(Trades!$X:$X,$A28+3))</f>
        <v/>
      </c>
      <c r="K28" s="16" t="str" cm="1">
        <f t="array" ref="K28">IF($A28="","",INDEX(Trades!$W:$W,$A28+3))</f>
        <v/>
      </c>
      <c r="L28" s="18" t="str" cm="1">
        <f t="array" ref="L28">IF($A28="","",INDEX(Trades!$Z:$Z,$A28+3))</f>
        <v/>
      </c>
      <c r="M28" s="18" t="str" cm="1">
        <f t="array" ref="M28">IF($A28="","",INDEX(Trades!$Q:$Q,$A28+3))</f>
        <v/>
      </c>
    </row>
    <row r="29" spans="1:13" x14ac:dyDescent="0.3">
      <c r="A29" t="str" cm="1">
        <f t="array" ref="A29">IFERROR(_xlfn.AGGREGATE(15,6,(ROW(Trades!$Y$4:$Y$140)-3)/(Trades!$Y$4:$Y$140="Sí"),ROW()-13),"")</f>
        <v/>
      </c>
      <c r="B29" s="16" t="str" cm="1">
        <f t="array" ref="B29">IF($A29="","",INDEX(Trades!$C:$C,$A29+3))</f>
        <v/>
      </c>
      <c r="C29" s="17" t="str" cm="1">
        <f t="array" ref="C29">IF($A29="","",INDEX(Trades!$D:$D,$A29+3))</f>
        <v/>
      </c>
      <c r="D29" s="17" t="str" cm="1">
        <f t="array" ref="D29">IF($A29="","",INDEX(Trades!$K:$K,$A29+3))</f>
        <v/>
      </c>
      <c r="E29" s="16" t="str" cm="1">
        <f t="array" ref="E29">IF($A29="","",INDEX(Trades!$N:$N,$A29+3))</f>
        <v/>
      </c>
      <c r="F29" s="16" t="str" cm="1">
        <f t="array" ref="F29">IF($A29="","",INDEX(Trades!$O:$O,$A29+3))</f>
        <v/>
      </c>
      <c r="G29" s="19" t="str" cm="1">
        <f t="array" ref="G29">IF($A29="","",INDEX(Trades!$L:$L,$A29+3))</f>
        <v/>
      </c>
      <c r="H29" s="18" t="str" cm="1">
        <f t="array" ref="H29">IF($A29="","",INDEX(Trades!$T:$T,$A29+3))</f>
        <v/>
      </c>
      <c r="I29" s="17" t="str" cm="1">
        <f t="array" ref="I29">IF($A29="","",INDEX(Trades!$V:$V,$A29+3))</f>
        <v/>
      </c>
      <c r="J29" s="19" t="str" cm="1">
        <f t="array" ref="J29">IF($A29="","",INDEX(Trades!$X:$X,$A29+3))</f>
        <v/>
      </c>
      <c r="K29" s="16" t="str" cm="1">
        <f t="array" ref="K29">IF($A29="","",INDEX(Trades!$W:$W,$A29+3))</f>
        <v/>
      </c>
      <c r="L29" s="18" t="str" cm="1">
        <f t="array" ref="L29">IF($A29="","",INDEX(Trades!$Z:$Z,$A29+3))</f>
        <v/>
      </c>
      <c r="M29" s="18" t="str" cm="1">
        <f t="array" ref="M29">IF($A29="","",INDEX(Trades!$Q:$Q,$A29+3))</f>
        <v/>
      </c>
    </row>
    <row r="30" spans="1:13" x14ac:dyDescent="0.3">
      <c r="A30" t="str" cm="1">
        <f t="array" ref="A30">IFERROR(_xlfn.AGGREGATE(15,6,(ROW(Trades!$Y$4:$Y$140)-3)/(Trades!$Y$4:$Y$140="Sí"),ROW()-13),"")</f>
        <v/>
      </c>
      <c r="B30" s="16" t="str" cm="1">
        <f t="array" ref="B30">IF($A30="","",INDEX(Trades!$C:$C,$A30+3))</f>
        <v/>
      </c>
      <c r="C30" s="17" t="str" cm="1">
        <f t="array" ref="C30">IF($A30="","",INDEX(Trades!$D:$D,$A30+3))</f>
        <v/>
      </c>
      <c r="D30" s="17" t="str" cm="1">
        <f t="array" ref="D30">IF($A30="","",INDEX(Trades!$K:$K,$A30+3))</f>
        <v/>
      </c>
      <c r="E30" s="16" t="str" cm="1">
        <f t="array" ref="E30">IF($A30="","",INDEX(Trades!$N:$N,$A30+3))</f>
        <v/>
      </c>
      <c r="F30" s="16" t="str" cm="1">
        <f t="array" ref="F30">IF($A30="","",INDEX(Trades!$O:$O,$A30+3))</f>
        <v/>
      </c>
      <c r="G30" s="19" t="str" cm="1">
        <f t="array" ref="G30">IF($A30="","",INDEX(Trades!$L:$L,$A30+3))</f>
        <v/>
      </c>
      <c r="H30" s="18" t="str" cm="1">
        <f t="array" ref="H30">IF($A30="","",INDEX(Trades!$T:$T,$A30+3))</f>
        <v/>
      </c>
      <c r="I30" s="17" t="str" cm="1">
        <f t="array" ref="I30">IF($A30="","",INDEX(Trades!$V:$V,$A30+3))</f>
        <v/>
      </c>
      <c r="J30" s="19" t="str" cm="1">
        <f t="array" ref="J30">IF($A30="","",INDEX(Trades!$X:$X,$A30+3))</f>
        <v/>
      </c>
      <c r="K30" s="16" t="str" cm="1">
        <f t="array" ref="K30">IF($A30="","",INDEX(Trades!$W:$W,$A30+3))</f>
        <v/>
      </c>
      <c r="L30" s="18" t="str" cm="1">
        <f t="array" ref="L30">IF($A30="","",INDEX(Trades!$Z:$Z,$A30+3))</f>
        <v/>
      </c>
      <c r="M30" s="18" t="str" cm="1">
        <f t="array" ref="M30">IF($A30="","",INDEX(Trades!$Q:$Q,$A30+3))</f>
        <v/>
      </c>
    </row>
    <row r="31" spans="1:13" x14ac:dyDescent="0.3">
      <c r="A31" t="str" cm="1">
        <f t="array" ref="A31">IFERROR(_xlfn.AGGREGATE(15,6,(ROW(Trades!$Y$4:$Y$140)-3)/(Trades!$Y$4:$Y$140="Sí"),ROW()-13),"")</f>
        <v/>
      </c>
      <c r="B31" s="16" t="str" cm="1">
        <f t="array" ref="B31">IF($A31="","",INDEX(Trades!$C:$C,$A31+3))</f>
        <v/>
      </c>
      <c r="C31" s="17" t="str" cm="1">
        <f t="array" ref="C31">IF($A31="","",INDEX(Trades!$D:$D,$A31+3))</f>
        <v/>
      </c>
      <c r="D31" s="17" t="str" cm="1">
        <f t="array" ref="D31">IF($A31="","",INDEX(Trades!$K:$K,$A31+3))</f>
        <v/>
      </c>
      <c r="E31" s="16" t="str" cm="1">
        <f t="array" ref="E31">IF($A31="","",INDEX(Trades!$N:$N,$A31+3))</f>
        <v/>
      </c>
      <c r="F31" s="16" t="str" cm="1">
        <f t="array" ref="F31">IF($A31="","",INDEX(Trades!$O:$O,$A31+3))</f>
        <v/>
      </c>
      <c r="G31" s="19" t="str" cm="1">
        <f t="array" ref="G31">IF($A31="","",INDEX(Trades!$L:$L,$A31+3))</f>
        <v/>
      </c>
      <c r="H31" s="18" t="str" cm="1">
        <f t="array" ref="H31">IF($A31="","",INDEX(Trades!$T:$T,$A31+3))</f>
        <v/>
      </c>
      <c r="I31" s="17" t="str" cm="1">
        <f t="array" ref="I31">IF($A31="","",INDEX(Trades!$V:$V,$A31+3))</f>
        <v/>
      </c>
      <c r="J31" s="19" t="str" cm="1">
        <f t="array" ref="J31">IF($A31="","",INDEX(Trades!$X:$X,$A31+3))</f>
        <v/>
      </c>
      <c r="K31" s="16" t="str" cm="1">
        <f t="array" ref="K31">IF($A31="","",INDEX(Trades!$W:$W,$A31+3))</f>
        <v/>
      </c>
      <c r="L31" s="18" t="str" cm="1">
        <f t="array" ref="L31">IF($A31="","",INDEX(Trades!$Z:$Z,$A31+3))</f>
        <v/>
      </c>
      <c r="M31" s="18" t="str" cm="1">
        <f t="array" ref="M31">IF($A31="","",INDEX(Trades!$Q:$Q,$A31+3))</f>
        <v/>
      </c>
    </row>
    <row r="32" spans="1:13" x14ac:dyDescent="0.3">
      <c r="A32" t="str" cm="1">
        <f t="array" ref="A32">IFERROR(_xlfn.AGGREGATE(15,6,(ROW(Trades!$Y$4:$Y$140)-3)/(Trades!$Y$4:$Y$140="Sí"),ROW()-13),"")</f>
        <v/>
      </c>
      <c r="B32" s="16" t="str" cm="1">
        <f t="array" ref="B32">IF($A32="","",INDEX(Trades!$C:$C,$A32+3))</f>
        <v/>
      </c>
      <c r="C32" s="17" t="str" cm="1">
        <f t="array" ref="C32">IF($A32="","",INDEX(Trades!$D:$D,$A32+3))</f>
        <v/>
      </c>
      <c r="D32" s="17" t="str" cm="1">
        <f t="array" ref="D32">IF($A32="","",INDEX(Trades!$K:$K,$A32+3))</f>
        <v/>
      </c>
      <c r="E32" s="16" t="str" cm="1">
        <f t="array" ref="E32">IF($A32="","",INDEX(Trades!$N:$N,$A32+3))</f>
        <v/>
      </c>
      <c r="F32" s="16" t="str" cm="1">
        <f t="array" ref="F32">IF($A32="","",INDEX(Trades!$O:$O,$A32+3))</f>
        <v/>
      </c>
      <c r="G32" s="19" t="str" cm="1">
        <f t="array" ref="G32">IF($A32="","",INDEX(Trades!$L:$L,$A32+3))</f>
        <v/>
      </c>
      <c r="H32" s="18" t="str" cm="1">
        <f t="array" ref="H32">IF($A32="","",INDEX(Trades!$T:$T,$A32+3))</f>
        <v/>
      </c>
      <c r="I32" s="17" t="str" cm="1">
        <f t="array" ref="I32">IF($A32="","",INDEX(Trades!$V:$V,$A32+3))</f>
        <v/>
      </c>
      <c r="J32" s="19" t="str" cm="1">
        <f t="array" ref="J32">IF($A32="","",INDEX(Trades!$X:$X,$A32+3))</f>
        <v/>
      </c>
      <c r="K32" s="16" t="str" cm="1">
        <f t="array" ref="K32">IF($A32="","",INDEX(Trades!$W:$W,$A32+3))</f>
        <v/>
      </c>
      <c r="L32" s="18" t="str" cm="1">
        <f t="array" ref="L32">IF($A32="","",INDEX(Trades!$Z:$Z,$A32+3))</f>
        <v/>
      </c>
      <c r="M32" s="18" t="str" cm="1">
        <f t="array" ref="M32">IF($A32="","",INDEX(Trades!$Q:$Q,$A32+3))</f>
        <v/>
      </c>
    </row>
    <row r="33" spans="1:13" x14ac:dyDescent="0.3">
      <c r="A33" t="str" cm="1">
        <f t="array" ref="A33">IFERROR(_xlfn.AGGREGATE(15,6,(ROW(Trades!$Y$4:$Y$140)-3)/(Trades!$Y$4:$Y$140="Sí"),ROW()-13),"")</f>
        <v/>
      </c>
      <c r="B33" s="16" t="str" cm="1">
        <f t="array" ref="B33">IF($A33="","",INDEX(Trades!$C:$C,$A33+3))</f>
        <v/>
      </c>
      <c r="C33" s="17" t="str" cm="1">
        <f t="array" ref="C33">IF($A33="","",INDEX(Trades!$D:$D,$A33+3))</f>
        <v/>
      </c>
      <c r="D33" s="17" t="str" cm="1">
        <f t="array" ref="D33">IF($A33="","",INDEX(Trades!$K:$K,$A33+3))</f>
        <v/>
      </c>
      <c r="E33" s="16" t="str" cm="1">
        <f t="array" ref="E33">IF($A33="","",INDEX(Trades!$N:$N,$A33+3))</f>
        <v/>
      </c>
      <c r="F33" s="16" t="str" cm="1">
        <f t="array" ref="F33">IF($A33="","",INDEX(Trades!$O:$O,$A33+3))</f>
        <v/>
      </c>
      <c r="G33" s="19" t="str" cm="1">
        <f t="array" ref="G33">IF($A33="","",INDEX(Trades!$L:$L,$A33+3))</f>
        <v/>
      </c>
      <c r="H33" s="18" t="str" cm="1">
        <f t="array" ref="H33">IF($A33="","",INDEX(Trades!$T:$T,$A33+3))</f>
        <v/>
      </c>
      <c r="I33" s="17" t="str" cm="1">
        <f t="array" ref="I33">IF($A33="","",INDEX(Trades!$V:$V,$A33+3))</f>
        <v/>
      </c>
      <c r="J33" s="19" t="str" cm="1">
        <f t="array" ref="J33">IF($A33="","",INDEX(Trades!$X:$X,$A33+3))</f>
        <v/>
      </c>
      <c r="K33" s="16" t="str" cm="1">
        <f t="array" ref="K33">IF($A33="","",INDEX(Trades!$W:$W,$A33+3))</f>
        <v/>
      </c>
      <c r="L33" s="18" t="str" cm="1">
        <f t="array" ref="L33">IF($A33="","",INDEX(Trades!$Z:$Z,$A33+3))</f>
        <v/>
      </c>
      <c r="M33" s="18" t="str" cm="1">
        <f t="array" ref="M33">IF($A33="","",INDEX(Trades!$Q:$Q,$A33+3))</f>
        <v/>
      </c>
    </row>
    <row r="34" spans="1:13" x14ac:dyDescent="0.3">
      <c r="A34" t="str" cm="1">
        <f t="array" ref="A34">IFERROR(_xlfn.AGGREGATE(15,6,(ROW(Trades!$Y$4:$Y$140)-3)/(Trades!$Y$4:$Y$140="Sí"),ROW()-13),"")</f>
        <v/>
      </c>
      <c r="B34" s="16" t="str" cm="1">
        <f t="array" ref="B34">IF($A34="","",INDEX(Trades!$C:$C,$A34+3))</f>
        <v/>
      </c>
      <c r="C34" s="17" t="str" cm="1">
        <f t="array" ref="C34">IF($A34="","",INDEX(Trades!$D:$D,$A34+3))</f>
        <v/>
      </c>
      <c r="D34" s="17" t="str" cm="1">
        <f t="array" ref="D34">IF($A34="","",INDEX(Trades!$K:$K,$A34+3))</f>
        <v/>
      </c>
      <c r="E34" s="16" t="str" cm="1">
        <f t="array" ref="E34">IF($A34="","",INDEX(Trades!$N:$N,$A34+3))</f>
        <v/>
      </c>
      <c r="F34" s="16" t="str" cm="1">
        <f t="array" ref="F34">IF($A34="","",INDEX(Trades!$O:$O,$A34+3))</f>
        <v/>
      </c>
      <c r="G34" s="19" t="str" cm="1">
        <f t="array" ref="G34">IF($A34="","",INDEX(Trades!$L:$L,$A34+3))</f>
        <v/>
      </c>
      <c r="H34" s="18" t="str" cm="1">
        <f t="array" ref="H34">IF($A34="","",INDEX(Trades!$T:$T,$A34+3))</f>
        <v/>
      </c>
      <c r="I34" s="17" t="str" cm="1">
        <f t="array" ref="I34">IF($A34="","",INDEX(Trades!$V:$V,$A34+3))</f>
        <v/>
      </c>
      <c r="J34" s="19" t="str" cm="1">
        <f t="array" ref="J34">IF($A34="","",INDEX(Trades!$X:$X,$A34+3))</f>
        <v/>
      </c>
      <c r="K34" s="16" t="str" cm="1">
        <f t="array" ref="K34">IF($A34="","",INDEX(Trades!$W:$W,$A34+3))</f>
        <v/>
      </c>
      <c r="L34" s="18" t="str" cm="1">
        <f t="array" ref="L34">IF($A34="","",INDEX(Trades!$Z:$Z,$A34+3))</f>
        <v/>
      </c>
      <c r="M34" s="18" t="str" cm="1">
        <f t="array" ref="M34">IF($A34="","",INDEX(Trades!$Q:$Q,$A34+3))</f>
        <v/>
      </c>
    </row>
    <row r="35" spans="1:13" x14ac:dyDescent="0.3">
      <c r="A35" t="str" cm="1">
        <f t="array" ref="A35">IFERROR(_xlfn.AGGREGATE(15,6,(ROW(Trades!$Y$4:$Y$140)-3)/(Trades!$Y$4:$Y$140="Sí"),ROW()-13),"")</f>
        <v/>
      </c>
      <c r="B35" s="16" t="str" cm="1">
        <f t="array" ref="B35">IF($A35="","",INDEX(Trades!$C:$C,$A35+3))</f>
        <v/>
      </c>
      <c r="C35" s="17" t="str" cm="1">
        <f t="array" ref="C35">IF($A35="","",INDEX(Trades!$D:$D,$A35+3))</f>
        <v/>
      </c>
      <c r="D35" s="17" t="str" cm="1">
        <f t="array" ref="D35">IF($A35="","",INDEX(Trades!$K:$K,$A35+3))</f>
        <v/>
      </c>
      <c r="E35" s="16" t="str" cm="1">
        <f t="array" ref="E35">IF($A35="","",INDEX(Trades!$N:$N,$A35+3))</f>
        <v/>
      </c>
      <c r="F35" s="16" t="str" cm="1">
        <f t="array" ref="F35">IF($A35="","",INDEX(Trades!$O:$O,$A35+3))</f>
        <v/>
      </c>
      <c r="G35" s="19" t="str" cm="1">
        <f t="array" ref="G35">IF($A35="","",INDEX(Trades!$L:$L,$A35+3))</f>
        <v/>
      </c>
      <c r="H35" s="18" t="str" cm="1">
        <f t="array" ref="H35">IF($A35="","",INDEX(Trades!$T:$T,$A35+3))</f>
        <v/>
      </c>
      <c r="I35" s="17" t="str" cm="1">
        <f t="array" ref="I35">IF($A35="","",INDEX(Trades!$V:$V,$A35+3))</f>
        <v/>
      </c>
      <c r="J35" s="19" t="str" cm="1">
        <f t="array" ref="J35">IF($A35="","",INDEX(Trades!$X:$X,$A35+3))</f>
        <v/>
      </c>
      <c r="K35" s="16" t="str" cm="1">
        <f t="array" ref="K35">IF($A35="","",INDEX(Trades!$W:$W,$A35+3))</f>
        <v/>
      </c>
      <c r="L35" s="18" t="str" cm="1">
        <f t="array" ref="L35">IF($A35="","",INDEX(Trades!$Z:$Z,$A35+3))</f>
        <v/>
      </c>
      <c r="M35" s="18" t="str" cm="1">
        <f t="array" ref="M35">IF($A35="","",INDEX(Trades!$Q:$Q,$A35+3))</f>
        <v/>
      </c>
    </row>
    <row r="36" spans="1:13" x14ac:dyDescent="0.3">
      <c r="A36" t="str" cm="1">
        <f t="array" ref="A36">IFERROR(_xlfn.AGGREGATE(15,6,(ROW(Trades!$Y$4:$Y$140)-3)/(Trades!$Y$4:$Y$140="Sí"),ROW()-13),"")</f>
        <v/>
      </c>
      <c r="B36" s="16" t="str" cm="1">
        <f t="array" ref="B36">IF($A36="","",INDEX(Trades!$C:$C,$A36+3))</f>
        <v/>
      </c>
      <c r="C36" s="17" t="str" cm="1">
        <f t="array" ref="C36">IF($A36="","",INDEX(Trades!$D:$D,$A36+3))</f>
        <v/>
      </c>
      <c r="D36" s="17" t="str" cm="1">
        <f t="array" ref="D36">IF($A36="","",INDEX(Trades!$K:$K,$A36+3))</f>
        <v/>
      </c>
      <c r="E36" s="16" t="str" cm="1">
        <f t="array" ref="E36">IF($A36="","",INDEX(Trades!$N:$N,$A36+3))</f>
        <v/>
      </c>
      <c r="F36" s="16" t="str" cm="1">
        <f t="array" ref="F36">IF($A36="","",INDEX(Trades!$O:$O,$A36+3))</f>
        <v/>
      </c>
      <c r="G36" s="19" t="str" cm="1">
        <f t="array" ref="G36">IF($A36="","",INDEX(Trades!$L:$L,$A36+3))</f>
        <v/>
      </c>
      <c r="H36" s="18" t="str" cm="1">
        <f t="array" ref="H36">IF($A36="","",INDEX(Trades!$T:$T,$A36+3))</f>
        <v/>
      </c>
      <c r="I36" s="17" t="str" cm="1">
        <f t="array" ref="I36">IF($A36="","",INDEX(Trades!$V:$V,$A36+3))</f>
        <v/>
      </c>
      <c r="J36" s="19" t="str" cm="1">
        <f t="array" ref="J36">IF($A36="","",INDEX(Trades!$X:$X,$A36+3))</f>
        <v/>
      </c>
      <c r="K36" s="16" t="str" cm="1">
        <f t="array" ref="K36">IF($A36="","",INDEX(Trades!$W:$W,$A36+3))</f>
        <v/>
      </c>
      <c r="L36" s="18" t="str" cm="1">
        <f t="array" ref="L36">IF($A36="","",INDEX(Trades!$Z:$Z,$A36+3))</f>
        <v/>
      </c>
      <c r="M36" s="18" t="str" cm="1">
        <f t="array" ref="M36">IF($A36="","",INDEX(Trades!$Q:$Q,$A36+3))</f>
        <v/>
      </c>
    </row>
    <row r="37" spans="1:13" x14ac:dyDescent="0.3">
      <c r="A37" t="str" cm="1">
        <f t="array" ref="A37">IFERROR(_xlfn.AGGREGATE(15,6,(ROW(Trades!$Y$4:$Y$140)-3)/(Trades!$Y$4:$Y$140="Sí"),ROW()-13),"")</f>
        <v/>
      </c>
      <c r="B37" s="16" t="str" cm="1">
        <f t="array" ref="B37">IF($A37="","",INDEX(Trades!$C:$C,$A37+3))</f>
        <v/>
      </c>
      <c r="C37" s="17" t="str" cm="1">
        <f t="array" ref="C37">IF($A37="","",INDEX(Trades!$D:$D,$A37+3))</f>
        <v/>
      </c>
      <c r="D37" s="17" t="str" cm="1">
        <f t="array" ref="D37">IF($A37="","",INDEX(Trades!$K:$K,$A37+3))</f>
        <v/>
      </c>
      <c r="E37" s="16" t="str" cm="1">
        <f t="array" ref="E37">IF($A37="","",INDEX(Trades!$N:$N,$A37+3))</f>
        <v/>
      </c>
      <c r="F37" s="16" t="str" cm="1">
        <f t="array" ref="F37">IF($A37="","",INDEX(Trades!$O:$O,$A37+3))</f>
        <v/>
      </c>
      <c r="G37" s="19" t="str" cm="1">
        <f t="array" ref="G37">IF($A37="","",INDEX(Trades!$L:$L,$A37+3))</f>
        <v/>
      </c>
      <c r="H37" s="18" t="str" cm="1">
        <f t="array" ref="H37">IF($A37="","",INDEX(Trades!$T:$T,$A37+3))</f>
        <v/>
      </c>
      <c r="I37" s="17" t="str" cm="1">
        <f t="array" ref="I37">IF($A37="","",INDEX(Trades!$V:$V,$A37+3))</f>
        <v/>
      </c>
      <c r="J37" s="19" t="str" cm="1">
        <f t="array" ref="J37">IF($A37="","",INDEX(Trades!$X:$X,$A37+3))</f>
        <v/>
      </c>
      <c r="K37" s="16" t="str" cm="1">
        <f t="array" ref="K37">IF($A37="","",INDEX(Trades!$W:$W,$A37+3))</f>
        <v/>
      </c>
      <c r="L37" s="18" t="str" cm="1">
        <f t="array" ref="L37">IF($A37="","",INDEX(Trades!$Z:$Z,$A37+3))</f>
        <v/>
      </c>
      <c r="M37" s="18" t="str" cm="1">
        <f t="array" ref="M37">IF($A37="","",INDEX(Trades!$Q:$Q,$A37+3))</f>
        <v/>
      </c>
    </row>
    <row r="38" spans="1:13" x14ac:dyDescent="0.3">
      <c r="A38" t="str" cm="1">
        <f t="array" ref="A38">IFERROR(_xlfn.AGGREGATE(15,6,(ROW(Trades!$Y$4:$Y$140)-3)/(Trades!$Y$4:$Y$140="Sí"),ROW()-13),"")</f>
        <v/>
      </c>
      <c r="B38" s="16" t="str" cm="1">
        <f t="array" ref="B38">IF($A38="","",INDEX(Trades!$C:$C,$A38+3))</f>
        <v/>
      </c>
      <c r="C38" s="17" t="str" cm="1">
        <f t="array" ref="C38">IF($A38="","",INDEX(Trades!$D:$D,$A38+3))</f>
        <v/>
      </c>
      <c r="D38" s="17" t="str" cm="1">
        <f t="array" ref="D38">IF($A38="","",INDEX(Trades!$K:$K,$A38+3))</f>
        <v/>
      </c>
      <c r="E38" s="16" t="str" cm="1">
        <f t="array" ref="E38">IF($A38="","",INDEX(Trades!$N:$N,$A38+3))</f>
        <v/>
      </c>
      <c r="F38" s="16" t="str" cm="1">
        <f t="array" ref="F38">IF($A38="","",INDEX(Trades!$O:$O,$A38+3))</f>
        <v/>
      </c>
      <c r="G38" s="19" t="str" cm="1">
        <f t="array" ref="G38">IF($A38="","",INDEX(Trades!$L:$L,$A38+3))</f>
        <v/>
      </c>
      <c r="H38" s="18" t="str" cm="1">
        <f t="array" ref="H38">IF($A38="","",INDEX(Trades!$T:$T,$A38+3))</f>
        <v/>
      </c>
      <c r="I38" s="17" t="str" cm="1">
        <f t="array" ref="I38">IF($A38="","",INDEX(Trades!$V:$V,$A38+3))</f>
        <v/>
      </c>
      <c r="J38" s="19" t="str" cm="1">
        <f t="array" ref="J38">IF($A38="","",INDEX(Trades!$X:$X,$A38+3))</f>
        <v/>
      </c>
      <c r="K38" s="16" t="str" cm="1">
        <f t="array" ref="K38">IF($A38="","",INDEX(Trades!$W:$W,$A38+3))</f>
        <v/>
      </c>
      <c r="L38" s="18" t="str" cm="1">
        <f t="array" ref="L38">IF($A38="","",INDEX(Trades!$Z:$Z,$A38+3))</f>
        <v/>
      </c>
      <c r="M38" s="18" t="str" cm="1">
        <f t="array" ref="M38">IF($A38="","",INDEX(Trades!$Q:$Q,$A38+3))</f>
        <v/>
      </c>
    </row>
    <row r="39" spans="1:13" x14ac:dyDescent="0.3">
      <c r="A39" t="str" cm="1">
        <f t="array" ref="A39">IFERROR(_xlfn.AGGREGATE(15,6,(ROW(Trades!$Y$4:$Y$140)-3)/(Trades!$Y$4:$Y$140="Sí"),ROW()-13),"")</f>
        <v/>
      </c>
      <c r="B39" s="16" t="str" cm="1">
        <f t="array" ref="B39">IF($A39="","",INDEX(Trades!$C:$C,$A39+3))</f>
        <v/>
      </c>
      <c r="C39" s="17" t="str" cm="1">
        <f t="array" ref="C39">IF($A39="","",INDEX(Trades!$D:$D,$A39+3))</f>
        <v/>
      </c>
      <c r="D39" s="17" t="str" cm="1">
        <f t="array" ref="D39">IF($A39="","",INDEX(Trades!$K:$K,$A39+3))</f>
        <v/>
      </c>
      <c r="E39" s="16" t="str" cm="1">
        <f t="array" ref="E39">IF($A39="","",INDEX(Trades!$N:$N,$A39+3))</f>
        <v/>
      </c>
      <c r="F39" s="16" t="str" cm="1">
        <f t="array" ref="F39">IF($A39="","",INDEX(Trades!$O:$O,$A39+3))</f>
        <v/>
      </c>
      <c r="G39" s="19" t="str" cm="1">
        <f t="array" ref="G39">IF($A39="","",INDEX(Trades!$L:$L,$A39+3))</f>
        <v/>
      </c>
      <c r="H39" s="18" t="str" cm="1">
        <f t="array" ref="H39">IF($A39="","",INDEX(Trades!$T:$T,$A39+3))</f>
        <v/>
      </c>
      <c r="I39" s="17" t="str" cm="1">
        <f t="array" ref="I39">IF($A39="","",INDEX(Trades!$V:$V,$A39+3))</f>
        <v/>
      </c>
      <c r="J39" s="19" t="str" cm="1">
        <f t="array" ref="J39">IF($A39="","",INDEX(Trades!$X:$X,$A39+3))</f>
        <v/>
      </c>
      <c r="K39" s="16" t="str" cm="1">
        <f t="array" ref="K39">IF($A39="","",INDEX(Trades!$W:$W,$A39+3))</f>
        <v/>
      </c>
      <c r="L39" s="18" t="str" cm="1">
        <f t="array" ref="L39">IF($A39="","",INDEX(Trades!$Z:$Z,$A39+3))</f>
        <v/>
      </c>
      <c r="M39" s="18" t="str" cm="1">
        <f t="array" ref="M39">IF($A39="","",INDEX(Trades!$Q:$Q,$A39+3))</f>
        <v/>
      </c>
    </row>
    <row r="40" spans="1:13" x14ac:dyDescent="0.3">
      <c r="A40" t="str" cm="1">
        <f t="array" ref="A40">IFERROR(_xlfn.AGGREGATE(15,6,(ROW(Trades!$Y$4:$Y$140)-3)/(Trades!$Y$4:$Y$140="Sí"),ROW()-13),"")</f>
        <v/>
      </c>
      <c r="B40" s="16" t="str" cm="1">
        <f t="array" ref="B40">IF($A40="","",INDEX(Trades!$C:$C,$A40+3))</f>
        <v/>
      </c>
      <c r="C40" s="17" t="str" cm="1">
        <f t="array" ref="C40">IF($A40="","",INDEX(Trades!$D:$D,$A40+3))</f>
        <v/>
      </c>
      <c r="D40" s="17" t="str" cm="1">
        <f t="array" ref="D40">IF($A40="","",INDEX(Trades!$K:$K,$A40+3))</f>
        <v/>
      </c>
      <c r="E40" s="16" t="str" cm="1">
        <f t="array" ref="E40">IF($A40="","",INDEX(Trades!$N:$N,$A40+3))</f>
        <v/>
      </c>
      <c r="F40" s="16" t="str" cm="1">
        <f t="array" ref="F40">IF($A40="","",INDEX(Trades!$O:$O,$A40+3))</f>
        <v/>
      </c>
      <c r="G40" s="19" t="str" cm="1">
        <f t="array" ref="G40">IF($A40="","",INDEX(Trades!$L:$L,$A40+3))</f>
        <v/>
      </c>
      <c r="H40" s="18" t="str" cm="1">
        <f t="array" ref="H40">IF($A40="","",INDEX(Trades!$T:$T,$A40+3))</f>
        <v/>
      </c>
      <c r="I40" s="17" t="str" cm="1">
        <f t="array" ref="I40">IF($A40="","",INDEX(Trades!$V:$V,$A40+3))</f>
        <v/>
      </c>
      <c r="J40" s="19" t="str" cm="1">
        <f t="array" ref="J40">IF($A40="","",INDEX(Trades!$X:$X,$A40+3))</f>
        <v/>
      </c>
      <c r="K40" s="16" t="str" cm="1">
        <f t="array" ref="K40">IF($A40="","",INDEX(Trades!$W:$W,$A40+3))</f>
        <v/>
      </c>
      <c r="L40" s="18" t="str" cm="1">
        <f t="array" ref="L40">IF($A40="","",INDEX(Trades!$Z:$Z,$A40+3))</f>
        <v/>
      </c>
      <c r="M40" s="18" t="str" cm="1">
        <f t="array" ref="M40">IF($A40="","",INDEX(Trades!$Q:$Q,$A40+3))</f>
        <v/>
      </c>
    </row>
    <row r="41" spans="1:13" x14ac:dyDescent="0.3">
      <c r="A41" t="str" cm="1">
        <f t="array" ref="A41">IFERROR(_xlfn.AGGREGATE(15,6,(ROW(Trades!$Y$4:$Y$140)-3)/(Trades!$Y$4:$Y$140="Sí"),ROW()-13),"")</f>
        <v/>
      </c>
      <c r="B41" s="16" t="str" cm="1">
        <f t="array" ref="B41">IF($A41="","",INDEX(Trades!$C:$C,$A41+3))</f>
        <v/>
      </c>
      <c r="C41" s="17" t="str" cm="1">
        <f t="array" ref="C41">IF($A41="","",INDEX(Trades!$D:$D,$A41+3))</f>
        <v/>
      </c>
      <c r="D41" s="17" t="str" cm="1">
        <f t="array" ref="D41">IF($A41="","",INDEX(Trades!$K:$K,$A41+3))</f>
        <v/>
      </c>
      <c r="E41" s="16" t="str" cm="1">
        <f t="array" ref="E41">IF($A41="","",INDEX(Trades!$N:$N,$A41+3))</f>
        <v/>
      </c>
      <c r="F41" s="16" t="str" cm="1">
        <f t="array" ref="F41">IF($A41="","",INDEX(Trades!$O:$O,$A41+3))</f>
        <v/>
      </c>
      <c r="G41" s="19" t="str" cm="1">
        <f t="array" ref="G41">IF($A41="","",INDEX(Trades!$L:$L,$A41+3))</f>
        <v/>
      </c>
      <c r="H41" s="18" t="str" cm="1">
        <f t="array" ref="H41">IF($A41="","",INDEX(Trades!$T:$T,$A41+3))</f>
        <v/>
      </c>
      <c r="I41" s="17" t="str" cm="1">
        <f t="array" ref="I41">IF($A41="","",INDEX(Trades!$V:$V,$A41+3))</f>
        <v/>
      </c>
      <c r="J41" s="19" t="str" cm="1">
        <f t="array" ref="J41">IF($A41="","",INDEX(Trades!$X:$X,$A41+3))</f>
        <v/>
      </c>
      <c r="K41" s="16" t="str" cm="1">
        <f t="array" ref="K41">IF($A41="","",INDEX(Trades!$W:$W,$A41+3))</f>
        <v/>
      </c>
      <c r="L41" s="18" t="str" cm="1">
        <f t="array" ref="L41">IF($A41="","",INDEX(Trades!$Z:$Z,$A41+3))</f>
        <v/>
      </c>
      <c r="M41" s="18" t="str" cm="1">
        <f t="array" ref="M41">IF($A41="","",INDEX(Trades!$Q:$Q,$A41+3))</f>
        <v/>
      </c>
    </row>
    <row r="42" spans="1:13" x14ac:dyDescent="0.3">
      <c r="A42" t="str" cm="1">
        <f t="array" ref="A42">IFERROR(_xlfn.AGGREGATE(15,6,(ROW(Trades!$Y$4:$Y$140)-3)/(Trades!$Y$4:$Y$140="Sí"),ROW()-13),"")</f>
        <v/>
      </c>
      <c r="B42" s="16" t="str" cm="1">
        <f t="array" ref="B42">IF($A42="","",INDEX(Trades!$C:$C,$A42+3))</f>
        <v/>
      </c>
      <c r="C42" s="17" t="str" cm="1">
        <f t="array" ref="C42">IF($A42="","",INDEX(Trades!$D:$D,$A42+3))</f>
        <v/>
      </c>
      <c r="D42" s="17" t="str" cm="1">
        <f t="array" ref="D42">IF($A42="","",INDEX(Trades!$K:$K,$A42+3))</f>
        <v/>
      </c>
      <c r="E42" s="16" t="str" cm="1">
        <f t="array" ref="E42">IF($A42="","",INDEX(Trades!$N:$N,$A42+3))</f>
        <v/>
      </c>
      <c r="F42" s="16" t="str" cm="1">
        <f t="array" ref="F42">IF($A42="","",INDEX(Trades!$O:$O,$A42+3))</f>
        <v/>
      </c>
      <c r="G42" s="19" t="str" cm="1">
        <f t="array" ref="G42">IF($A42="","",INDEX(Trades!$L:$L,$A42+3))</f>
        <v/>
      </c>
      <c r="H42" s="18" t="str" cm="1">
        <f t="array" ref="H42">IF($A42="","",INDEX(Trades!$T:$T,$A42+3))</f>
        <v/>
      </c>
      <c r="I42" s="17" t="str" cm="1">
        <f t="array" ref="I42">IF($A42="","",INDEX(Trades!$V:$V,$A42+3))</f>
        <v/>
      </c>
      <c r="J42" s="19" t="str" cm="1">
        <f t="array" ref="J42">IF($A42="","",INDEX(Trades!$X:$X,$A42+3))</f>
        <v/>
      </c>
      <c r="K42" s="16" t="str" cm="1">
        <f t="array" ref="K42">IF($A42="","",INDEX(Trades!$W:$W,$A42+3))</f>
        <v/>
      </c>
      <c r="L42" s="18" t="str" cm="1">
        <f t="array" ref="L42">IF($A42="","",INDEX(Trades!$Z:$Z,$A42+3))</f>
        <v/>
      </c>
      <c r="M42" s="18" t="str" cm="1">
        <f t="array" ref="M42">IF($A42="","",INDEX(Trades!$Q:$Q,$A42+3))</f>
        <v/>
      </c>
    </row>
    <row r="43" spans="1:13" x14ac:dyDescent="0.3">
      <c r="A43" t="str" cm="1">
        <f t="array" ref="A43">IFERROR(_xlfn.AGGREGATE(15,6,(ROW(Trades!$Y$4:$Y$140)-3)/(Trades!$Y$4:$Y$140="Sí"),ROW()-13),"")</f>
        <v/>
      </c>
      <c r="B43" s="16" t="str" cm="1">
        <f t="array" ref="B43">IF($A43="","",INDEX(Trades!$C:$C,$A43+3))</f>
        <v/>
      </c>
      <c r="C43" s="17" t="str" cm="1">
        <f t="array" ref="C43">IF($A43="","",INDEX(Trades!$D:$D,$A43+3))</f>
        <v/>
      </c>
      <c r="D43" s="17" t="str" cm="1">
        <f t="array" ref="D43">IF($A43="","",INDEX(Trades!$K:$K,$A43+3))</f>
        <v/>
      </c>
      <c r="E43" s="16" t="str" cm="1">
        <f t="array" ref="E43">IF($A43="","",INDEX(Trades!$N:$N,$A43+3))</f>
        <v/>
      </c>
      <c r="F43" s="16" t="str" cm="1">
        <f t="array" ref="F43">IF($A43="","",INDEX(Trades!$O:$O,$A43+3))</f>
        <v/>
      </c>
      <c r="G43" s="19" t="str" cm="1">
        <f t="array" ref="G43">IF($A43="","",INDEX(Trades!$L:$L,$A43+3))</f>
        <v/>
      </c>
      <c r="H43" s="18" t="str" cm="1">
        <f t="array" ref="H43">IF($A43="","",INDEX(Trades!$T:$T,$A43+3))</f>
        <v/>
      </c>
      <c r="I43" s="17" t="str" cm="1">
        <f t="array" ref="I43">IF($A43="","",INDEX(Trades!$V:$V,$A43+3))</f>
        <v/>
      </c>
      <c r="J43" s="19" t="str" cm="1">
        <f t="array" ref="J43">IF($A43="","",INDEX(Trades!$X:$X,$A43+3))</f>
        <v/>
      </c>
      <c r="K43" s="16" t="str" cm="1">
        <f t="array" ref="K43">IF($A43="","",INDEX(Trades!$W:$W,$A43+3))</f>
        <v/>
      </c>
      <c r="L43" s="18" t="str" cm="1">
        <f t="array" ref="L43">IF($A43="","",INDEX(Trades!$Z:$Z,$A43+3))</f>
        <v/>
      </c>
      <c r="M43" s="18" t="str" cm="1">
        <f t="array" ref="M43">IF($A43="","",INDEX(Trades!$Q:$Q,$A43+3))</f>
        <v/>
      </c>
    </row>
    <row r="44" spans="1:13" x14ac:dyDescent="0.3">
      <c r="A44" t="str" cm="1">
        <f t="array" ref="A44">IFERROR(_xlfn.AGGREGATE(15,6,(ROW(Trades!$Y$4:$Y$140)-3)/(Trades!$Y$4:$Y$140="Sí"),ROW()-13),"")</f>
        <v/>
      </c>
      <c r="B44" s="16" t="str" cm="1">
        <f t="array" ref="B44">IF($A44="","",INDEX(Trades!$C:$C,$A44+3))</f>
        <v/>
      </c>
      <c r="C44" s="17" t="str" cm="1">
        <f t="array" ref="C44">IF($A44="","",INDEX(Trades!$D:$D,$A44+3))</f>
        <v/>
      </c>
      <c r="D44" s="17" t="str" cm="1">
        <f t="array" ref="D44">IF($A44="","",INDEX(Trades!$K:$K,$A44+3))</f>
        <v/>
      </c>
      <c r="E44" s="16" t="str" cm="1">
        <f t="array" ref="E44">IF($A44="","",INDEX(Trades!$N:$N,$A44+3))</f>
        <v/>
      </c>
      <c r="F44" s="16" t="str" cm="1">
        <f t="array" ref="F44">IF($A44="","",INDEX(Trades!$O:$O,$A44+3))</f>
        <v/>
      </c>
      <c r="G44" s="19" t="str" cm="1">
        <f t="array" ref="G44">IF($A44="","",INDEX(Trades!$L:$L,$A44+3))</f>
        <v/>
      </c>
      <c r="H44" s="18" t="str" cm="1">
        <f t="array" ref="H44">IF($A44="","",INDEX(Trades!$T:$T,$A44+3))</f>
        <v/>
      </c>
      <c r="I44" s="17" t="str" cm="1">
        <f t="array" ref="I44">IF($A44="","",INDEX(Trades!$V:$V,$A44+3))</f>
        <v/>
      </c>
      <c r="J44" s="19" t="str" cm="1">
        <f t="array" ref="J44">IF($A44="","",INDEX(Trades!$X:$X,$A44+3))</f>
        <v/>
      </c>
      <c r="K44" s="16" t="str" cm="1">
        <f t="array" ref="K44">IF($A44="","",INDEX(Trades!$W:$W,$A44+3))</f>
        <v/>
      </c>
      <c r="L44" s="18" t="str" cm="1">
        <f t="array" ref="L44">IF($A44="","",INDEX(Trades!$Z:$Z,$A44+3))</f>
        <v/>
      </c>
      <c r="M44" s="18" t="str" cm="1">
        <f t="array" ref="M44">IF($A44="","",INDEX(Trades!$Q:$Q,$A44+3))</f>
        <v/>
      </c>
    </row>
    <row r="45" spans="1:13" x14ac:dyDescent="0.3">
      <c r="A45" t="str" cm="1">
        <f t="array" ref="A45">IFERROR(_xlfn.AGGREGATE(15,6,(ROW(Trades!$Y$4:$Y$140)-3)/(Trades!$Y$4:$Y$140="Sí"),ROW()-13),"")</f>
        <v/>
      </c>
      <c r="B45" s="16" t="str" cm="1">
        <f t="array" ref="B45">IF($A45="","",INDEX(Trades!$C:$C,$A45+3))</f>
        <v/>
      </c>
      <c r="C45" s="17" t="str" cm="1">
        <f t="array" ref="C45">IF($A45="","",INDEX(Trades!$D:$D,$A45+3))</f>
        <v/>
      </c>
      <c r="D45" s="17" t="str" cm="1">
        <f t="array" ref="D45">IF($A45="","",INDEX(Trades!$K:$K,$A45+3))</f>
        <v/>
      </c>
      <c r="E45" s="16" t="str" cm="1">
        <f t="array" ref="E45">IF($A45="","",INDEX(Trades!$N:$N,$A45+3))</f>
        <v/>
      </c>
      <c r="F45" s="16" t="str" cm="1">
        <f t="array" ref="F45">IF($A45="","",INDEX(Trades!$O:$O,$A45+3))</f>
        <v/>
      </c>
      <c r="G45" s="19" t="str" cm="1">
        <f t="array" ref="G45">IF($A45="","",INDEX(Trades!$L:$L,$A45+3))</f>
        <v/>
      </c>
      <c r="H45" s="18" t="str" cm="1">
        <f t="array" ref="H45">IF($A45="","",INDEX(Trades!$T:$T,$A45+3))</f>
        <v/>
      </c>
      <c r="I45" s="17" t="str" cm="1">
        <f t="array" ref="I45">IF($A45="","",INDEX(Trades!$V:$V,$A45+3))</f>
        <v/>
      </c>
      <c r="J45" s="19" t="str" cm="1">
        <f t="array" ref="J45">IF($A45="","",INDEX(Trades!$X:$X,$A45+3))</f>
        <v/>
      </c>
      <c r="K45" s="16" t="str" cm="1">
        <f t="array" ref="K45">IF($A45="","",INDEX(Trades!$W:$W,$A45+3))</f>
        <v/>
      </c>
      <c r="L45" s="18" t="str" cm="1">
        <f t="array" ref="L45">IF($A45="","",INDEX(Trades!$Z:$Z,$A45+3))</f>
        <v/>
      </c>
      <c r="M45" s="18" t="str" cm="1">
        <f t="array" ref="M45">IF($A45="","",INDEX(Trades!$Q:$Q,$A45+3))</f>
        <v/>
      </c>
    </row>
    <row r="46" spans="1:13" x14ac:dyDescent="0.3">
      <c r="A46" t="str" cm="1">
        <f t="array" ref="A46">IFERROR(_xlfn.AGGREGATE(15,6,(ROW(Trades!$Y$4:$Y$140)-3)/(Trades!$Y$4:$Y$140="Sí"),ROW()-13),"")</f>
        <v/>
      </c>
      <c r="B46" s="16" t="str" cm="1">
        <f t="array" ref="B46">IF($A46="","",INDEX(Trades!$C:$C,$A46+3))</f>
        <v/>
      </c>
      <c r="C46" s="17" t="str" cm="1">
        <f t="array" ref="C46">IF($A46="","",INDEX(Trades!$D:$D,$A46+3))</f>
        <v/>
      </c>
      <c r="D46" s="17" t="str" cm="1">
        <f t="array" ref="D46">IF($A46="","",INDEX(Trades!$K:$K,$A46+3))</f>
        <v/>
      </c>
      <c r="E46" s="16" t="str" cm="1">
        <f t="array" ref="E46">IF($A46="","",INDEX(Trades!$N:$N,$A46+3))</f>
        <v/>
      </c>
      <c r="F46" s="16" t="str" cm="1">
        <f t="array" ref="F46">IF($A46="","",INDEX(Trades!$O:$O,$A46+3))</f>
        <v/>
      </c>
      <c r="G46" s="19" t="str" cm="1">
        <f t="array" ref="G46">IF($A46="","",INDEX(Trades!$L:$L,$A46+3))</f>
        <v/>
      </c>
      <c r="H46" s="18" t="str" cm="1">
        <f t="array" ref="H46">IF($A46="","",INDEX(Trades!$T:$T,$A46+3))</f>
        <v/>
      </c>
      <c r="I46" s="17" t="str" cm="1">
        <f t="array" ref="I46">IF($A46="","",INDEX(Trades!$V:$V,$A46+3))</f>
        <v/>
      </c>
      <c r="J46" s="19" t="str" cm="1">
        <f t="array" ref="J46">IF($A46="","",INDEX(Trades!$X:$X,$A46+3))</f>
        <v/>
      </c>
      <c r="K46" s="16" t="str" cm="1">
        <f t="array" ref="K46">IF($A46="","",INDEX(Trades!$W:$W,$A46+3))</f>
        <v/>
      </c>
      <c r="L46" s="18" t="str" cm="1">
        <f t="array" ref="L46">IF($A46="","",INDEX(Trades!$Z:$Z,$A46+3))</f>
        <v/>
      </c>
      <c r="M46" s="18" t="str" cm="1">
        <f t="array" ref="M46">IF($A46="","",INDEX(Trades!$Q:$Q,$A46+3))</f>
        <v/>
      </c>
    </row>
    <row r="47" spans="1:13" x14ac:dyDescent="0.3">
      <c r="A47" t="str" cm="1">
        <f t="array" ref="A47">IFERROR(_xlfn.AGGREGATE(15,6,(ROW(Trades!$Y$4:$Y$140)-3)/(Trades!$Y$4:$Y$140="Sí"),ROW()-13),"")</f>
        <v/>
      </c>
      <c r="B47" s="16" t="str" cm="1">
        <f t="array" ref="B47">IF($A47="","",INDEX(Trades!$C:$C,$A47+3))</f>
        <v/>
      </c>
      <c r="C47" s="17" t="str" cm="1">
        <f t="array" ref="C47">IF($A47="","",INDEX(Trades!$D:$D,$A47+3))</f>
        <v/>
      </c>
      <c r="D47" s="17" t="str" cm="1">
        <f t="array" ref="D47">IF($A47="","",INDEX(Trades!$K:$K,$A47+3))</f>
        <v/>
      </c>
      <c r="E47" s="16" t="str" cm="1">
        <f t="array" ref="E47">IF($A47="","",INDEX(Trades!$N:$N,$A47+3))</f>
        <v/>
      </c>
      <c r="F47" s="16" t="str" cm="1">
        <f t="array" ref="F47">IF($A47="","",INDEX(Trades!$O:$O,$A47+3))</f>
        <v/>
      </c>
      <c r="G47" s="19" t="str" cm="1">
        <f t="array" ref="G47">IF($A47="","",INDEX(Trades!$L:$L,$A47+3))</f>
        <v/>
      </c>
      <c r="H47" s="18" t="str" cm="1">
        <f t="array" ref="H47">IF($A47="","",INDEX(Trades!$T:$T,$A47+3))</f>
        <v/>
      </c>
      <c r="I47" s="17" t="str" cm="1">
        <f t="array" ref="I47">IF($A47="","",INDEX(Trades!$V:$V,$A47+3))</f>
        <v/>
      </c>
      <c r="J47" s="19" t="str" cm="1">
        <f t="array" ref="J47">IF($A47="","",INDEX(Trades!$X:$X,$A47+3))</f>
        <v/>
      </c>
      <c r="K47" s="16" t="str" cm="1">
        <f t="array" ref="K47">IF($A47="","",INDEX(Trades!$W:$W,$A47+3))</f>
        <v/>
      </c>
      <c r="L47" s="18" t="str" cm="1">
        <f t="array" ref="L47">IF($A47="","",INDEX(Trades!$Z:$Z,$A47+3))</f>
        <v/>
      </c>
      <c r="M47" s="18" t="str" cm="1">
        <f t="array" ref="M47">IF($A47="","",INDEX(Trades!$Q:$Q,$A47+3))</f>
        <v/>
      </c>
    </row>
    <row r="48" spans="1:13" x14ac:dyDescent="0.3">
      <c r="A48" t="str" cm="1">
        <f t="array" ref="A48">IFERROR(_xlfn.AGGREGATE(15,6,(ROW(Trades!$Y$4:$Y$140)-3)/(Trades!$Y$4:$Y$140="Sí"),ROW()-13),"")</f>
        <v/>
      </c>
      <c r="B48" s="16" t="str" cm="1">
        <f t="array" ref="B48">IF($A48="","",INDEX(Trades!$C:$C,$A48+3))</f>
        <v/>
      </c>
      <c r="C48" s="17" t="str" cm="1">
        <f t="array" ref="C48">IF($A48="","",INDEX(Trades!$D:$D,$A48+3))</f>
        <v/>
      </c>
      <c r="D48" s="17" t="str" cm="1">
        <f t="array" ref="D48">IF($A48="","",INDEX(Trades!$K:$K,$A48+3))</f>
        <v/>
      </c>
      <c r="E48" s="16" t="str" cm="1">
        <f t="array" ref="E48">IF($A48="","",INDEX(Trades!$N:$N,$A48+3))</f>
        <v/>
      </c>
      <c r="F48" s="16" t="str" cm="1">
        <f t="array" ref="F48">IF($A48="","",INDEX(Trades!$O:$O,$A48+3))</f>
        <v/>
      </c>
      <c r="G48" s="19" t="str" cm="1">
        <f t="array" ref="G48">IF($A48="","",INDEX(Trades!$L:$L,$A48+3))</f>
        <v/>
      </c>
      <c r="H48" s="18" t="str" cm="1">
        <f t="array" ref="H48">IF($A48="","",INDEX(Trades!$T:$T,$A48+3))</f>
        <v/>
      </c>
      <c r="I48" s="17" t="str" cm="1">
        <f t="array" ref="I48">IF($A48="","",INDEX(Trades!$V:$V,$A48+3))</f>
        <v/>
      </c>
      <c r="J48" s="19" t="str" cm="1">
        <f t="array" ref="J48">IF($A48="","",INDEX(Trades!$X:$X,$A48+3))</f>
        <v/>
      </c>
      <c r="K48" s="16" t="str" cm="1">
        <f t="array" ref="K48">IF($A48="","",INDEX(Trades!$W:$W,$A48+3))</f>
        <v/>
      </c>
      <c r="L48" s="18" t="str" cm="1">
        <f t="array" ref="L48">IF($A48="","",INDEX(Trades!$Z:$Z,$A48+3))</f>
        <v/>
      </c>
      <c r="M48" s="18" t="str" cm="1">
        <f t="array" ref="M48">IF($A48="","",INDEX(Trades!$Q:$Q,$A48+3))</f>
        <v/>
      </c>
    </row>
    <row r="49" spans="1:13" x14ac:dyDescent="0.3">
      <c r="A49" t="str" cm="1">
        <f t="array" ref="A49">IFERROR(_xlfn.AGGREGATE(15,6,(ROW(Trades!$Y$4:$Y$140)-3)/(Trades!$Y$4:$Y$140="Sí"),ROW()-13),"")</f>
        <v/>
      </c>
      <c r="B49" s="16" t="str" cm="1">
        <f t="array" ref="B49">IF($A49="","",INDEX(Trades!$C:$C,$A49+3))</f>
        <v/>
      </c>
      <c r="C49" s="17" t="str" cm="1">
        <f t="array" ref="C49">IF($A49="","",INDEX(Trades!$D:$D,$A49+3))</f>
        <v/>
      </c>
      <c r="D49" s="17" t="str" cm="1">
        <f t="array" ref="D49">IF($A49="","",INDEX(Trades!$K:$K,$A49+3))</f>
        <v/>
      </c>
      <c r="E49" s="16" t="str" cm="1">
        <f t="array" ref="E49">IF($A49="","",INDEX(Trades!$N:$N,$A49+3))</f>
        <v/>
      </c>
      <c r="F49" s="16" t="str" cm="1">
        <f t="array" ref="F49">IF($A49="","",INDEX(Trades!$O:$O,$A49+3))</f>
        <v/>
      </c>
      <c r="G49" s="19" t="str" cm="1">
        <f t="array" ref="G49">IF($A49="","",INDEX(Trades!$L:$L,$A49+3))</f>
        <v/>
      </c>
      <c r="H49" s="18" t="str" cm="1">
        <f t="array" ref="H49">IF($A49="","",INDEX(Trades!$T:$T,$A49+3))</f>
        <v/>
      </c>
      <c r="I49" s="17" t="str" cm="1">
        <f t="array" ref="I49">IF($A49="","",INDEX(Trades!$V:$V,$A49+3))</f>
        <v/>
      </c>
      <c r="J49" s="19" t="str" cm="1">
        <f t="array" ref="J49">IF($A49="","",INDEX(Trades!$X:$X,$A49+3))</f>
        <v/>
      </c>
      <c r="K49" s="16" t="str" cm="1">
        <f t="array" ref="K49">IF($A49="","",INDEX(Trades!$W:$W,$A49+3))</f>
        <v/>
      </c>
      <c r="L49" s="18" t="str" cm="1">
        <f t="array" ref="L49">IF($A49="","",INDEX(Trades!$Z:$Z,$A49+3))</f>
        <v/>
      </c>
      <c r="M49" s="18" t="str" cm="1">
        <f t="array" ref="M49">IF($A49="","",INDEX(Trades!$Q:$Q,$A49+3))</f>
        <v/>
      </c>
    </row>
    <row r="50" spans="1:13" x14ac:dyDescent="0.3">
      <c r="A50" t="str" cm="1">
        <f t="array" ref="A50">IFERROR(_xlfn.AGGREGATE(15,6,(ROW(Trades!$Y$4:$Y$140)-3)/(Trades!$Y$4:$Y$140="Sí"),ROW()-13),"")</f>
        <v/>
      </c>
      <c r="B50" s="16" t="str" cm="1">
        <f t="array" ref="B50">IF($A50="","",INDEX(Trades!$C:$C,$A50+3))</f>
        <v/>
      </c>
      <c r="C50" s="17" t="str" cm="1">
        <f t="array" ref="C50">IF($A50="","",INDEX(Trades!$D:$D,$A50+3))</f>
        <v/>
      </c>
      <c r="D50" s="17" t="str" cm="1">
        <f t="array" ref="D50">IF($A50="","",INDEX(Trades!$K:$K,$A50+3))</f>
        <v/>
      </c>
      <c r="E50" s="16" t="str" cm="1">
        <f t="array" ref="E50">IF($A50="","",INDEX(Trades!$N:$N,$A50+3))</f>
        <v/>
      </c>
      <c r="F50" s="16" t="str" cm="1">
        <f t="array" ref="F50">IF($A50="","",INDEX(Trades!$O:$O,$A50+3))</f>
        <v/>
      </c>
      <c r="G50" s="19" t="str" cm="1">
        <f t="array" ref="G50">IF($A50="","",INDEX(Trades!$L:$L,$A50+3))</f>
        <v/>
      </c>
      <c r="H50" s="18" t="str" cm="1">
        <f t="array" ref="H50">IF($A50="","",INDEX(Trades!$T:$T,$A50+3))</f>
        <v/>
      </c>
      <c r="I50" s="17" t="str" cm="1">
        <f t="array" ref="I50">IF($A50="","",INDEX(Trades!$V:$V,$A50+3))</f>
        <v/>
      </c>
      <c r="J50" s="19" t="str" cm="1">
        <f t="array" ref="J50">IF($A50="","",INDEX(Trades!$X:$X,$A50+3))</f>
        <v/>
      </c>
      <c r="K50" s="16" t="str" cm="1">
        <f t="array" ref="K50">IF($A50="","",INDEX(Trades!$W:$W,$A50+3))</f>
        <v/>
      </c>
      <c r="L50" s="18" t="str" cm="1">
        <f t="array" ref="L50">IF($A50="","",INDEX(Trades!$Z:$Z,$A50+3))</f>
        <v/>
      </c>
      <c r="M50" s="18" t="str" cm="1">
        <f t="array" ref="M50">IF($A50="","",INDEX(Trades!$Q:$Q,$A50+3))</f>
        <v/>
      </c>
    </row>
    <row r="51" spans="1:13" x14ac:dyDescent="0.3">
      <c r="A51" t="str" cm="1">
        <f t="array" ref="A51">IFERROR(_xlfn.AGGREGATE(15,6,(ROW(Trades!$Y$4:$Y$140)-3)/(Trades!$Y$4:$Y$140="Sí"),ROW()-13),"")</f>
        <v/>
      </c>
      <c r="B51" s="16" t="str" cm="1">
        <f t="array" ref="B51">IF($A51="","",INDEX(Trades!$C:$C,$A51+3))</f>
        <v/>
      </c>
      <c r="C51" s="17" t="str" cm="1">
        <f t="array" ref="C51">IF($A51="","",INDEX(Trades!$D:$D,$A51+3))</f>
        <v/>
      </c>
      <c r="D51" s="17" t="str" cm="1">
        <f t="array" ref="D51">IF($A51="","",INDEX(Trades!$K:$K,$A51+3))</f>
        <v/>
      </c>
      <c r="E51" s="16" t="str" cm="1">
        <f t="array" ref="E51">IF($A51="","",INDEX(Trades!$N:$N,$A51+3))</f>
        <v/>
      </c>
      <c r="F51" s="16" t="str" cm="1">
        <f t="array" ref="F51">IF($A51="","",INDEX(Trades!$O:$O,$A51+3))</f>
        <v/>
      </c>
      <c r="G51" s="19" t="str" cm="1">
        <f t="array" ref="G51">IF($A51="","",INDEX(Trades!$L:$L,$A51+3))</f>
        <v/>
      </c>
      <c r="H51" s="18" t="str" cm="1">
        <f t="array" ref="H51">IF($A51="","",INDEX(Trades!$T:$T,$A51+3))</f>
        <v/>
      </c>
      <c r="I51" s="17" t="str" cm="1">
        <f t="array" ref="I51">IF($A51="","",INDEX(Trades!$V:$V,$A51+3))</f>
        <v/>
      </c>
      <c r="J51" s="19" t="str" cm="1">
        <f t="array" ref="J51">IF($A51="","",INDEX(Trades!$X:$X,$A51+3))</f>
        <v/>
      </c>
      <c r="K51" s="16" t="str" cm="1">
        <f t="array" ref="K51">IF($A51="","",INDEX(Trades!$W:$W,$A51+3))</f>
        <v/>
      </c>
      <c r="L51" s="18" t="str" cm="1">
        <f t="array" ref="L51">IF($A51="","",INDEX(Trades!$Z:$Z,$A51+3))</f>
        <v/>
      </c>
      <c r="M51" s="18" t="str" cm="1">
        <f t="array" ref="M51">IF($A51="","",INDEX(Trades!$Q:$Q,$A51+3))</f>
        <v/>
      </c>
    </row>
    <row r="52" spans="1:13" x14ac:dyDescent="0.3">
      <c r="A52" t="str" cm="1">
        <f t="array" ref="A52">IFERROR(_xlfn.AGGREGATE(15,6,(ROW(Trades!$Y$4:$Y$140)-3)/(Trades!$Y$4:$Y$140="Sí"),ROW()-13),"")</f>
        <v/>
      </c>
      <c r="B52" s="16" t="str" cm="1">
        <f t="array" ref="B52">IF($A52="","",INDEX(Trades!$C:$C,$A52+3))</f>
        <v/>
      </c>
      <c r="C52" s="17" t="str" cm="1">
        <f t="array" ref="C52">IF($A52="","",INDEX(Trades!$D:$D,$A52+3))</f>
        <v/>
      </c>
      <c r="D52" s="17" t="str" cm="1">
        <f t="array" ref="D52">IF($A52="","",INDEX(Trades!$K:$K,$A52+3))</f>
        <v/>
      </c>
      <c r="E52" s="16" t="str" cm="1">
        <f t="array" ref="E52">IF($A52="","",INDEX(Trades!$N:$N,$A52+3))</f>
        <v/>
      </c>
      <c r="F52" s="16" t="str" cm="1">
        <f t="array" ref="F52">IF($A52="","",INDEX(Trades!$O:$O,$A52+3))</f>
        <v/>
      </c>
      <c r="G52" s="19" t="str" cm="1">
        <f t="array" ref="G52">IF($A52="","",INDEX(Trades!$L:$L,$A52+3))</f>
        <v/>
      </c>
      <c r="H52" s="18" t="str" cm="1">
        <f t="array" ref="H52">IF($A52="","",INDEX(Trades!$T:$T,$A52+3))</f>
        <v/>
      </c>
      <c r="I52" s="17" t="str" cm="1">
        <f t="array" ref="I52">IF($A52="","",INDEX(Trades!$V:$V,$A52+3))</f>
        <v/>
      </c>
      <c r="J52" s="19" t="str" cm="1">
        <f t="array" ref="J52">IF($A52="","",INDEX(Trades!$X:$X,$A52+3))</f>
        <v/>
      </c>
      <c r="K52" s="16" t="str" cm="1">
        <f t="array" ref="K52">IF($A52="","",INDEX(Trades!$W:$W,$A52+3))</f>
        <v/>
      </c>
      <c r="L52" s="18" t="str" cm="1">
        <f t="array" ref="L52">IF($A52="","",INDEX(Trades!$Z:$Z,$A52+3))</f>
        <v/>
      </c>
      <c r="M52" s="18" t="str" cm="1">
        <f t="array" ref="M52">IF($A52="","",INDEX(Trades!$Q:$Q,$A52+3))</f>
        <v/>
      </c>
    </row>
    <row r="53" spans="1:13" x14ac:dyDescent="0.3">
      <c r="A53" t="str" cm="1">
        <f t="array" ref="A53">IFERROR(_xlfn.AGGREGATE(15,6,(ROW(Trades!$Y$4:$Y$140)-3)/(Trades!$Y$4:$Y$140="Sí"),ROW()-13),"")</f>
        <v/>
      </c>
      <c r="B53" s="16" t="str" cm="1">
        <f t="array" ref="B53">IF($A53="","",INDEX(Trades!$C:$C,$A53+3))</f>
        <v/>
      </c>
      <c r="C53" s="17" t="str" cm="1">
        <f t="array" ref="C53">IF($A53="","",INDEX(Trades!$D:$D,$A53+3))</f>
        <v/>
      </c>
      <c r="D53" s="17" t="str" cm="1">
        <f t="array" ref="D53">IF($A53="","",INDEX(Trades!$K:$K,$A53+3))</f>
        <v/>
      </c>
      <c r="E53" s="16" t="str" cm="1">
        <f t="array" ref="E53">IF($A53="","",INDEX(Trades!$N:$N,$A53+3))</f>
        <v/>
      </c>
      <c r="F53" s="16" t="str" cm="1">
        <f t="array" ref="F53">IF($A53="","",INDEX(Trades!$O:$O,$A53+3))</f>
        <v/>
      </c>
      <c r="G53" s="19" t="str" cm="1">
        <f t="array" ref="G53">IF($A53="","",INDEX(Trades!$L:$L,$A53+3))</f>
        <v/>
      </c>
      <c r="H53" s="18" t="str" cm="1">
        <f t="array" ref="H53">IF($A53="","",INDEX(Trades!$T:$T,$A53+3))</f>
        <v/>
      </c>
      <c r="I53" s="17" t="str" cm="1">
        <f t="array" ref="I53">IF($A53="","",INDEX(Trades!$V:$V,$A53+3))</f>
        <v/>
      </c>
      <c r="J53" s="19" t="str" cm="1">
        <f t="array" ref="J53">IF($A53="","",INDEX(Trades!$X:$X,$A53+3))</f>
        <v/>
      </c>
      <c r="K53" s="16" t="str" cm="1">
        <f t="array" ref="K53">IF($A53="","",INDEX(Trades!$W:$W,$A53+3))</f>
        <v/>
      </c>
      <c r="L53" s="18" t="str" cm="1">
        <f t="array" ref="L53">IF($A53="","",INDEX(Trades!$Z:$Z,$A53+3))</f>
        <v/>
      </c>
      <c r="M53" s="18" t="str" cm="1">
        <f t="array" ref="M53">IF($A53="","",INDEX(Trades!$Q:$Q,$A53+3))</f>
        <v/>
      </c>
    </row>
    <row r="54" spans="1:13" x14ac:dyDescent="0.3">
      <c r="A54" t="str" cm="1">
        <f t="array" ref="A54">IFERROR(_xlfn.AGGREGATE(15,6,(ROW(Trades!$Y$4:$Y$140)-3)/(Trades!$Y$4:$Y$140="Sí"),ROW()-13),"")</f>
        <v/>
      </c>
      <c r="B54" s="16" t="str" cm="1">
        <f t="array" ref="B54">IF($A54="","",INDEX(Trades!$C:$C,$A54+3))</f>
        <v/>
      </c>
      <c r="C54" s="17" t="str" cm="1">
        <f t="array" ref="C54">IF($A54="","",INDEX(Trades!$D:$D,$A54+3))</f>
        <v/>
      </c>
      <c r="D54" s="17" t="str" cm="1">
        <f t="array" ref="D54">IF($A54="","",INDEX(Trades!$K:$K,$A54+3))</f>
        <v/>
      </c>
      <c r="E54" s="16" t="str" cm="1">
        <f t="array" ref="E54">IF($A54="","",INDEX(Trades!$N:$N,$A54+3))</f>
        <v/>
      </c>
      <c r="F54" s="16" t="str" cm="1">
        <f t="array" ref="F54">IF($A54="","",INDEX(Trades!$O:$O,$A54+3))</f>
        <v/>
      </c>
      <c r="G54" s="19" t="str" cm="1">
        <f t="array" ref="G54">IF($A54="","",INDEX(Trades!$L:$L,$A54+3))</f>
        <v/>
      </c>
      <c r="H54" s="18" t="str" cm="1">
        <f t="array" ref="H54">IF($A54="","",INDEX(Trades!$T:$T,$A54+3))</f>
        <v/>
      </c>
      <c r="I54" s="17" t="str" cm="1">
        <f t="array" ref="I54">IF($A54="","",INDEX(Trades!$V:$V,$A54+3))</f>
        <v/>
      </c>
      <c r="J54" s="19" t="str" cm="1">
        <f t="array" ref="J54">IF($A54="","",INDEX(Trades!$X:$X,$A54+3))</f>
        <v/>
      </c>
      <c r="K54" s="16" t="str" cm="1">
        <f t="array" ref="K54">IF($A54="","",INDEX(Trades!$W:$W,$A54+3))</f>
        <v/>
      </c>
      <c r="L54" s="18" t="str" cm="1">
        <f t="array" ref="L54">IF($A54="","",INDEX(Trades!$Z:$Z,$A54+3))</f>
        <v/>
      </c>
      <c r="M54" s="18" t="str" cm="1">
        <f t="array" ref="M54">IF($A54="","",INDEX(Trades!$Q:$Q,$A54+3))</f>
        <v/>
      </c>
    </row>
    <row r="55" spans="1:13" x14ac:dyDescent="0.3">
      <c r="A55" t="str" cm="1">
        <f t="array" ref="A55">IFERROR(_xlfn.AGGREGATE(15,6,(ROW(Trades!$Y$4:$Y$140)-3)/(Trades!$Y$4:$Y$140="Sí"),ROW()-13),"")</f>
        <v/>
      </c>
      <c r="B55" s="16" t="str" cm="1">
        <f t="array" ref="B55">IF($A55="","",INDEX(Trades!$C:$C,$A55+3))</f>
        <v/>
      </c>
      <c r="C55" s="17" t="str" cm="1">
        <f t="array" ref="C55">IF($A55="","",INDEX(Trades!$D:$D,$A55+3))</f>
        <v/>
      </c>
      <c r="D55" s="17" t="str" cm="1">
        <f t="array" ref="D55">IF($A55="","",INDEX(Trades!$K:$K,$A55+3))</f>
        <v/>
      </c>
      <c r="E55" s="16" t="str" cm="1">
        <f t="array" ref="E55">IF($A55="","",INDEX(Trades!$N:$N,$A55+3))</f>
        <v/>
      </c>
      <c r="F55" s="16" t="str" cm="1">
        <f t="array" ref="F55">IF($A55="","",INDEX(Trades!$O:$O,$A55+3))</f>
        <v/>
      </c>
      <c r="G55" s="19" t="str" cm="1">
        <f t="array" ref="G55">IF($A55="","",INDEX(Trades!$L:$L,$A55+3))</f>
        <v/>
      </c>
      <c r="H55" s="18" t="str" cm="1">
        <f t="array" ref="H55">IF($A55="","",INDEX(Trades!$T:$T,$A55+3))</f>
        <v/>
      </c>
      <c r="I55" s="17" t="str" cm="1">
        <f t="array" ref="I55">IF($A55="","",INDEX(Trades!$V:$V,$A55+3))</f>
        <v/>
      </c>
      <c r="J55" s="19" t="str" cm="1">
        <f t="array" ref="J55">IF($A55="","",INDEX(Trades!$X:$X,$A55+3))</f>
        <v/>
      </c>
      <c r="K55" s="16" t="str" cm="1">
        <f t="array" ref="K55">IF($A55="","",INDEX(Trades!$W:$W,$A55+3))</f>
        <v/>
      </c>
      <c r="L55" s="18" t="str" cm="1">
        <f t="array" ref="L55">IF($A55="","",INDEX(Trades!$Z:$Z,$A55+3))</f>
        <v/>
      </c>
      <c r="M55" s="18" t="str" cm="1">
        <f t="array" ref="M55">IF($A55="","",INDEX(Trades!$Q:$Q,$A55+3))</f>
        <v/>
      </c>
    </row>
    <row r="56" spans="1:13" x14ac:dyDescent="0.3">
      <c r="A56" t="str" cm="1">
        <f t="array" ref="A56">IFERROR(_xlfn.AGGREGATE(15,6,(ROW(Trades!$Y$4:$Y$140)-3)/(Trades!$Y$4:$Y$140="Sí"),ROW()-13),"")</f>
        <v/>
      </c>
      <c r="B56" s="16" t="str" cm="1">
        <f t="array" ref="B56">IF($A56="","",INDEX(Trades!$C:$C,$A56+3))</f>
        <v/>
      </c>
      <c r="C56" s="17" t="str" cm="1">
        <f t="array" ref="C56">IF($A56="","",INDEX(Trades!$D:$D,$A56+3))</f>
        <v/>
      </c>
      <c r="D56" s="17" t="str" cm="1">
        <f t="array" ref="D56">IF($A56="","",INDEX(Trades!$K:$K,$A56+3))</f>
        <v/>
      </c>
      <c r="E56" s="16" t="str" cm="1">
        <f t="array" ref="E56">IF($A56="","",INDEX(Trades!$N:$N,$A56+3))</f>
        <v/>
      </c>
      <c r="F56" s="16" t="str" cm="1">
        <f t="array" ref="F56">IF($A56="","",INDEX(Trades!$O:$O,$A56+3))</f>
        <v/>
      </c>
      <c r="G56" s="19" t="str" cm="1">
        <f t="array" ref="G56">IF($A56="","",INDEX(Trades!$L:$L,$A56+3))</f>
        <v/>
      </c>
      <c r="H56" s="18" t="str" cm="1">
        <f t="array" ref="H56">IF($A56="","",INDEX(Trades!$T:$T,$A56+3))</f>
        <v/>
      </c>
      <c r="I56" s="17" t="str" cm="1">
        <f t="array" ref="I56">IF($A56="","",INDEX(Trades!$V:$V,$A56+3))</f>
        <v/>
      </c>
      <c r="J56" s="19" t="str" cm="1">
        <f t="array" ref="J56">IF($A56="","",INDEX(Trades!$X:$X,$A56+3))</f>
        <v/>
      </c>
      <c r="K56" s="16" t="str" cm="1">
        <f t="array" ref="K56">IF($A56="","",INDEX(Trades!$W:$W,$A56+3))</f>
        <v/>
      </c>
      <c r="L56" s="18" t="str" cm="1">
        <f t="array" ref="L56">IF($A56="","",INDEX(Trades!$Z:$Z,$A56+3))</f>
        <v/>
      </c>
      <c r="M56" s="18" t="str" cm="1">
        <f t="array" ref="M56">IF($A56="","",INDEX(Trades!$Q:$Q,$A56+3))</f>
        <v/>
      </c>
    </row>
    <row r="57" spans="1:13" x14ac:dyDescent="0.3">
      <c r="A57" t="str" cm="1">
        <f t="array" ref="A57">IFERROR(_xlfn.AGGREGATE(15,6,(ROW(Trades!$Y$4:$Y$140)-3)/(Trades!$Y$4:$Y$140="Sí"),ROW()-13),"")</f>
        <v/>
      </c>
      <c r="B57" s="16" t="str" cm="1">
        <f t="array" ref="B57">IF($A57="","",INDEX(Trades!$C:$C,$A57+3))</f>
        <v/>
      </c>
      <c r="C57" s="17" t="str" cm="1">
        <f t="array" ref="C57">IF($A57="","",INDEX(Trades!$D:$D,$A57+3))</f>
        <v/>
      </c>
      <c r="D57" s="17" t="str" cm="1">
        <f t="array" ref="D57">IF($A57="","",INDEX(Trades!$K:$K,$A57+3))</f>
        <v/>
      </c>
      <c r="E57" s="16" t="str" cm="1">
        <f t="array" ref="E57">IF($A57="","",INDEX(Trades!$N:$N,$A57+3))</f>
        <v/>
      </c>
      <c r="F57" s="16" t="str" cm="1">
        <f t="array" ref="F57">IF($A57="","",INDEX(Trades!$O:$O,$A57+3))</f>
        <v/>
      </c>
      <c r="G57" s="19" t="str" cm="1">
        <f t="array" ref="G57">IF($A57="","",INDEX(Trades!$L:$L,$A57+3))</f>
        <v/>
      </c>
      <c r="H57" s="18" t="str" cm="1">
        <f t="array" ref="H57">IF($A57="","",INDEX(Trades!$T:$T,$A57+3))</f>
        <v/>
      </c>
      <c r="I57" s="17" t="str" cm="1">
        <f t="array" ref="I57">IF($A57="","",INDEX(Trades!$V:$V,$A57+3))</f>
        <v/>
      </c>
      <c r="J57" s="19" t="str" cm="1">
        <f t="array" ref="J57">IF($A57="","",INDEX(Trades!$X:$X,$A57+3))</f>
        <v/>
      </c>
      <c r="K57" s="16" t="str" cm="1">
        <f t="array" ref="K57">IF($A57="","",INDEX(Trades!$W:$W,$A57+3))</f>
        <v/>
      </c>
      <c r="L57" s="18" t="str" cm="1">
        <f t="array" ref="L57">IF($A57="","",INDEX(Trades!$Z:$Z,$A57+3))</f>
        <v/>
      </c>
      <c r="M57" s="18" t="str" cm="1">
        <f t="array" ref="M57">IF($A57="","",INDEX(Trades!$Q:$Q,$A57+3))</f>
        <v/>
      </c>
    </row>
    <row r="58" spans="1:13" x14ac:dyDescent="0.3">
      <c r="A58" t="str" cm="1">
        <f t="array" ref="A58">IFERROR(_xlfn.AGGREGATE(15,6,(ROW(Trades!$Y$4:$Y$140)-3)/(Trades!$Y$4:$Y$140="Sí"),ROW()-13),"")</f>
        <v/>
      </c>
      <c r="B58" s="16" t="str" cm="1">
        <f t="array" ref="B58">IF($A58="","",INDEX(Trades!$C:$C,$A58+3))</f>
        <v/>
      </c>
      <c r="C58" s="17" t="str" cm="1">
        <f t="array" ref="C58">IF($A58="","",INDEX(Trades!$D:$D,$A58+3))</f>
        <v/>
      </c>
      <c r="D58" s="17" t="str" cm="1">
        <f t="array" ref="D58">IF($A58="","",INDEX(Trades!$K:$K,$A58+3))</f>
        <v/>
      </c>
      <c r="E58" s="16" t="str" cm="1">
        <f t="array" ref="E58">IF($A58="","",INDEX(Trades!$N:$N,$A58+3))</f>
        <v/>
      </c>
      <c r="F58" s="16" t="str" cm="1">
        <f t="array" ref="F58">IF($A58="","",INDEX(Trades!$O:$O,$A58+3))</f>
        <v/>
      </c>
      <c r="G58" s="19" t="str" cm="1">
        <f t="array" ref="G58">IF($A58="","",INDEX(Trades!$L:$L,$A58+3))</f>
        <v/>
      </c>
      <c r="H58" s="18" t="str" cm="1">
        <f t="array" ref="H58">IF($A58="","",INDEX(Trades!$T:$T,$A58+3))</f>
        <v/>
      </c>
      <c r="I58" s="17" t="str" cm="1">
        <f t="array" ref="I58">IF($A58="","",INDEX(Trades!$V:$V,$A58+3))</f>
        <v/>
      </c>
      <c r="J58" s="19" t="str" cm="1">
        <f t="array" ref="J58">IF($A58="","",INDEX(Trades!$X:$X,$A58+3))</f>
        <v/>
      </c>
      <c r="K58" s="16" t="str" cm="1">
        <f t="array" ref="K58">IF($A58="","",INDEX(Trades!$W:$W,$A58+3))</f>
        <v/>
      </c>
      <c r="L58" s="18" t="str" cm="1">
        <f t="array" ref="L58">IF($A58="","",INDEX(Trades!$Z:$Z,$A58+3))</f>
        <v/>
      </c>
      <c r="M58" s="18" t="str" cm="1">
        <f t="array" ref="M58">IF($A58="","",INDEX(Trades!$Q:$Q,$A58+3))</f>
        <v/>
      </c>
    </row>
    <row r="59" spans="1:13" x14ac:dyDescent="0.3">
      <c r="A59" t="str" cm="1">
        <f t="array" ref="A59">IFERROR(_xlfn.AGGREGATE(15,6,(ROW(Trades!$Y$4:$Y$140)-3)/(Trades!$Y$4:$Y$140="Sí"),ROW()-13),"")</f>
        <v/>
      </c>
      <c r="B59" s="16" t="str" cm="1">
        <f t="array" ref="B59">IF($A59="","",INDEX(Trades!$C:$C,$A59+3))</f>
        <v/>
      </c>
      <c r="C59" s="17" t="str" cm="1">
        <f t="array" ref="C59">IF($A59="","",INDEX(Trades!$D:$D,$A59+3))</f>
        <v/>
      </c>
      <c r="D59" s="17" t="str" cm="1">
        <f t="array" ref="D59">IF($A59="","",INDEX(Trades!$K:$K,$A59+3))</f>
        <v/>
      </c>
      <c r="E59" s="16" t="str" cm="1">
        <f t="array" ref="E59">IF($A59="","",INDEX(Trades!$N:$N,$A59+3))</f>
        <v/>
      </c>
      <c r="F59" s="16" t="str" cm="1">
        <f t="array" ref="F59">IF($A59="","",INDEX(Trades!$O:$O,$A59+3))</f>
        <v/>
      </c>
      <c r="G59" s="19" t="str" cm="1">
        <f t="array" ref="G59">IF($A59="","",INDEX(Trades!$L:$L,$A59+3))</f>
        <v/>
      </c>
      <c r="H59" s="18" t="str" cm="1">
        <f t="array" ref="H59">IF($A59="","",INDEX(Trades!$T:$T,$A59+3))</f>
        <v/>
      </c>
      <c r="I59" s="17" t="str" cm="1">
        <f t="array" ref="I59">IF($A59="","",INDEX(Trades!$V:$V,$A59+3))</f>
        <v/>
      </c>
      <c r="J59" s="19" t="str" cm="1">
        <f t="array" ref="J59">IF($A59="","",INDEX(Trades!$X:$X,$A59+3))</f>
        <v/>
      </c>
      <c r="K59" s="16" t="str" cm="1">
        <f t="array" ref="K59">IF($A59="","",INDEX(Trades!$W:$W,$A59+3))</f>
        <v/>
      </c>
      <c r="L59" s="18" t="str" cm="1">
        <f t="array" ref="L59">IF($A59="","",INDEX(Trades!$Z:$Z,$A59+3))</f>
        <v/>
      </c>
      <c r="M59" s="18" t="str" cm="1">
        <f t="array" ref="M59">IF($A59="","",INDEX(Trades!$Q:$Q,$A59+3))</f>
        <v/>
      </c>
    </row>
    <row r="60" spans="1:13" x14ac:dyDescent="0.3">
      <c r="A60" t="str" cm="1">
        <f t="array" ref="A60">IFERROR(_xlfn.AGGREGATE(15,6,(ROW(Trades!$Y$4:$Y$140)-3)/(Trades!$Y$4:$Y$140="Sí"),ROW()-13),"")</f>
        <v/>
      </c>
      <c r="B60" s="16" t="str" cm="1">
        <f t="array" ref="B60">IF($A60="","",INDEX(Trades!$C:$C,$A60+3))</f>
        <v/>
      </c>
      <c r="C60" s="17" t="str" cm="1">
        <f t="array" ref="C60">IF($A60="","",INDEX(Trades!$D:$D,$A60+3))</f>
        <v/>
      </c>
      <c r="D60" s="17" t="str" cm="1">
        <f t="array" ref="D60">IF($A60="","",INDEX(Trades!$K:$K,$A60+3))</f>
        <v/>
      </c>
      <c r="E60" s="16" t="str" cm="1">
        <f t="array" ref="E60">IF($A60="","",INDEX(Trades!$N:$N,$A60+3))</f>
        <v/>
      </c>
      <c r="F60" s="16" t="str" cm="1">
        <f t="array" ref="F60">IF($A60="","",INDEX(Trades!$O:$O,$A60+3))</f>
        <v/>
      </c>
      <c r="G60" s="19" t="str" cm="1">
        <f t="array" ref="G60">IF($A60="","",INDEX(Trades!$L:$L,$A60+3))</f>
        <v/>
      </c>
      <c r="H60" s="18" t="str" cm="1">
        <f t="array" ref="H60">IF($A60="","",INDEX(Trades!$T:$T,$A60+3))</f>
        <v/>
      </c>
      <c r="I60" s="17" t="str" cm="1">
        <f t="array" ref="I60">IF($A60="","",INDEX(Trades!$V:$V,$A60+3))</f>
        <v/>
      </c>
      <c r="J60" s="19" t="str" cm="1">
        <f t="array" ref="J60">IF($A60="","",INDEX(Trades!$X:$X,$A60+3))</f>
        <v/>
      </c>
      <c r="K60" s="16" t="str" cm="1">
        <f t="array" ref="K60">IF($A60="","",INDEX(Trades!$W:$W,$A60+3))</f>
        <v/>
      </c>
      <c r="L60" s="18" t="str" cm="1">
        <f t="array" ref="L60">IF($A60="","",INDEX(Trades!$Z:$Z,$A60+3))</f>
        <v/>
      </c>
      <c r="M60" s="18" t="str" cm="1">
        <f t="array" ref="M60">IF($A60="","",INDEX(Trades!$Q:$Q,$A60+3))</f>
        <v/>
      </c>
    </row>
    <row r="61" spans="1:13" x14ac:dyDescent="0.3">
      <c r="A61" t="str" cm="1">
        <f t="array" ref="A61">IFERROR(_xlfn.AGGREGATE(15,6,(ROW(Trades!$Y$4:$Y$140)-3)/(Trades!$Y$4:$Y$140="Sí"),ROW()-13),"")</f>
        <v/>
      </c>
      <c r="B61" s="16" t="str" cm="1">
        <f t="array" ref="B61">IF($A61="","",INDEX(Trades!$C:$C,$A61+3))</f>
        <v/>
      </c>
      <c r="C61" s="17" t="str" cm="1">
        <f t="array" ref="C61">IF($A61="","",INDEX(Trades!$D:$D,$A61+3))</f>
        <v/>
      </c>
      <c r="D61" s="17" t="str" cm="1">
        <f t="array" ref="D61">IF($A61="","",INDEX(Trades!$K:$K,$A61+3))</f>
        <v/>
      </c>
      <c r="E61" s="16" t="str" cm="1">
        <f t="array" ref="E61">IF($A61="","",INDEX(Trades!$N:$N,$A61+3))</f>
        <v/>
      </c>
      <c r="F61" s="16" t="str" cm="1">
        <f t="array" ref="F61">IF($A61="","",INDEX(Trades!$O:$O,$A61+3))</f>
        <v/>
      </c>
      <c r="G61" s="19" t="str" cm="1">
        <f t="array" ref="G61">IF($A61="","",INDEX(Trades!$L:$L,$A61+3))</f>
        <v/>
      </c>
      <c r="H61" s="18" t="str" cm="1">
        <f t="array" ref="H61">IF($A61="","",INDEX(Trades!$T:$T,$A61+3))</f>
        <v/>
      </c>
      <c r="I61" s="17" t="str" cm="1">
        <f t="array" ref="I61">IF($A61="","",INDEX(Trades!$V:$V,$A61+3))</f>
        <v/>
      </c>
      <c r="J61" s="19" t="str" cm="1">
        <f t="array" ref="J61">IF($A61="","",INDEX(Trades!$X:$X,$A61+3))</f>
        <v/>
      </c>
      <c r="K61" s="16" t="str" cm="1">
        <f t="array" ref="K61">IF($A61="","",INDEX(Trades!$W:$W,$A61+3))</f>
        <v/>
      </c>
      <c r="L61" s="18" t="str" cm="1">
        <f t="array" ref="L61">IF($A61="","",INDEX(Trades!$Z:$Z,$A61+3))</f>
        <v/>
      </c>
      <c r="M61" s="18" t="str" cm="1">
        <f t="array" ref="M61">IF($A61="","",INDEX(Trades!$Q:$Q,$A61+3))</f>
        <v/>
      </c>
    </row>
    <row r="62" spans="1:13" x14ac:dyDescent="0.3">
      <c r="A62" t="str" cm="1">
        <f t="array" ref="A62">IFERROR(_xlfn.AGGREGATE(15,6,(ROW(Trades!$Y$4:$Y$140)-3)/(Trades!$Y$4:$Y$140="Sí"),ROW()-13),"")</f>
        <v/>
      </c>
      <c r="B62" s="16" t="str" cm="1">
        <f t="array" ref="B62">IF($A62="","",INDEX(Trades!$C:$C,$A62+3))</f>
        <v/>
      </c>
      <c r="C62" s="17" t="str" cm="1">
        <f t="array" ref="C62">IF($A62="","",INDEX(Trades!$D:$D,$A62+3))</f>
        <v/>
      </c>
      <c r="D62" s="17" t="str" cm="1">
        <f t="array" ref="D62">IF($A62="","",INDEX(Trades!$K:$K,$A62+3))</f>
        <v/>
      </c>
      <c r="E62" s="16" t="str" cm="1">
        <f t="array" ref="E62">IF($A62="","",INDEX(Trades!$N:$N,$A62+3))</f>
        <v/>
      </c>
      <c r="F62" s="16" t="str" cm="1">
        <f t="array" ref="F62">IF($A62="","",INDEX(Trades!$O:$O,$A62+3))</f>
        <v/>
      </c>
      <c r="G62" s="19" t="str" cm="1">
        <f t="array" ref="G62">IF($A62="","",INDEX(Trades!$L:$L,$A62+3))</f>
        <v/>
      </c>
      <c r="H62" s="18" t="str" cm="1">
        <f t="array" ref="H62">IF($A62="","",INDEX(Trades!$T:$T,$A62+3))</f>
        <v/>
      </c>
      <c r="I62" s="17" t="str" cm="1">
        <f t="array" ref="I62">IF($A62="","",INDEX(Trades!$V:$V,$A62+3))</f>
        <v/>
      </c>
      <c r="J62" s="19" t="str" cm="1">
        <f t="array" ref="J62">IF($A62="","",INDEX(Trades!$X:$X,$A62+3))</f>
        <v/>
      </c>
      <c r="K62" s="16" t="str" cm="1">
        <f t="array" ref="K62">IF($A62="","",INDEX(Trades!$W:$W,$A62+3))</f>
        <v/>
      </c>
      <c r="L62" s="18" t="str" cm="1">
        <f t="array" ref="L62">IF($A62="","",INDEX(Trades!$Z:$Z,$A62+3))</f>
        <v/>
      </c>
      <c r="M62" s="18" t="str" cm="1">
        <f t="array" ref="M62">IF($A62="","",INDEX(Trades!$Q:$Q,$A62+3))</f>
        <v/>
      </c>
    </row>
    <row r="63" spans="1:13" x14ac:dyDescent="0.3">
      <c r="A63" t="str" cm="1">
        <f t="array" ref="A63">IFERROR(_xlfn.AGGREGATE(15,6,(ROW(Trades!$Y$4:$Y$140)-3)/(Trades!$Y$4:$Y$140="Sí"),ROW()-13),"")</f>
        <v/>
      </c>
      <c r="B63" s="16" t="str" cm="1">
        <f t="array" ref="B63">IF($A63="","",INDEX(Trades!$C:$C,$A63+3))</f>
        <v/>
      </c>
      <c r="C63" s="17" t="str" cm="1">
        <f t="array" ref="C63">IF($A63="","",INDEX(Trades!$D:$D,$A63+3))</f>
        <v/>
      </c>
      <c r="D63" s="17" t="str" cm="1">
        <f t="array" ref="D63">IF($A63="","",INDEX(Trades!$K:$K,$A63+3))</f>
        <v/>
      </c>
      <c r="E63" s="16" t="str" cm="1">
        <f t="array" ref="E63">IF($A63="","",INDEX(Trades!$N:$N,$A63+3))</f>
        <v/>
      </c>
      <c r="F63" s="16" t="str" cm="1">
        <f t="array" ref="F63">IF($A63="","",INDEX(Trades!$O:$O,$A63+3))</f>
        <v/>
      </c>
      <c r="G63" s="19" t="str" cm="1">
        <f t="array" ref="G63">IF($A63="","",INDEX(Trades!$L:$L,$A63+3))</f>
        <v/>
      </c>
      <c r="H63" s="18" t="str" cm="1">
        <f t="array" ref="H63">IF($A63="","",INDEX(Trades!$T:$T,$A63+3))</f>
        <v/>
      </c>
      <c r="I63" s="17" t="str" cm="1">
        <f t="array" ref="I63">IF($A63="","",INDEX(Trades!$V:$V,$A63+3))</f>
        <v/>
      </c>
      <c r="J63" s="19" t="str" cm="1">
        <f t="array" ref="J63">IF($A63="","",INDEX(Trades!$X:$X,$A63+3))</f>
        <v/>
      </c>
      <c r="K63" s="16" t="str" cm="1">
        <f t="array" ref="K63">IF($A63="","",INDEX(Trades!$W:$W,$A63+3))</f>
        <v/>
      </c>
      <c r="L63" s="18" t="str" cm="1">
        <f t="array" ref="L63">IF($A63="","",INDEX(Trades!$Z:$Z,$A63+3))</f>
        <v/>
      </c>
      <c r="M63" s="18" t="str" cm="1">
        <f t="array" ref="M63">IF($A63="","",INDEX(Trades!$Q:$Q,$A63+3))</f>
        <v/>
      </c>
    </row>
    <row r="64" spans="1:13" x14ac:dyDescent="0.3">
      <c r="A64" t="str" cm="1">
        <f t="array" ref="A64">IFERROR(_xlfn.AGGREGATE(15,6,(ROW(Trades!$Y$4:$Y$140)-3)/(Trades!$Y$4:$Y$140="Sí"),ROW()-13),"")</f>
        <v/>
      </c>
      <c r="B64" s="16" t="str" cm="1">
        <f t="array" ref="B64">IF($A64="","",INDEX(Trades!$C:$C,$A64+3))</f>
        <v/>
      </c>
      <c r="C64" s="17" t="str" cm="1">
        <f t="array" ref="C64">IF($A64="","",INDEX(Trades!$D:$D,$A64+3))</f>
        <v/>
      </c>
      <c r="D64" s="17" t="str" cm="1">
        <f t="array" ref="D64">IF($A64="","",INDEX(Trades!$K:$K,$A64+3))</f>
        <v/>
      </c>
      <c r="E64" s="16" t="str" cm="1">
        <f t="array" ref="E64">IF($A64="","",INDEX(Trades!$N:$N,$A64+3))</f>
        <v/>
      </c>
      <c r="F64" s="16" t="str" cm="1">
        <f t="array" ref="F64">IF($A64="","",INDEX(Trades!$O:$O,$A64+3))</f>
        <v/>
      </c>
      <c r="G64" s="19" t="str" cm="1">
        <f t="array" ref="G64">IF($A64="","",INDEX(Trades!$L:$L,$A64+3))</f>
        <v/>
      </c>
      <c r="H64" s="18" t="str" cm="1">
        <f t="array" ref="H64">IF($A64="","",INDEX(Trades!$T:$T,$A64+3))</f>
        <v/>
      </c>
      <c r="I64" s="17" t="str" cm="1">
        <f t="array" ref="I64">IF($A64="","",INDEX(Trades!$V:$V,$A64+3))</f>
        <v/>
      </c>
      <c r="J64" s="19" t="str" cm="1">
        <f t="array" ref="J64">IF($A64="","",INDEX(Trades!$X:$X,$A64+3))</f>
        <v/>
      </c>
      <c r="K64" s="16" t="str" cm="1">
        <f t="array" ref="K64">IF($A64="","",INDEX(Trades!$W:$W,$A64+3))</f>
        <v/>
      </c>
      <c r="L64" s="18" t="str" cm="1">
        <f t="array" ref="L64">IF($A64="","",INDEX(Trades!$Z:$Z,$A64+3))</f>
        <v/>
      </c>
      <c r="M64" s="18" t="str" cm="1">
        <f t="array" ref="M64">IF($A64="","",INDEX(Trades!$Q:$Q,$A64+3))</f>
        <v/>
      </c>
    </row>
    <row r="65" spans="1:13" x14ac:dyDescent="0.3">
      <c r="A65" t="str" cm="1">
        <f t="array" ref="A65">IFERROR(_xlfn.AGGREGATE(15,6,(ROW(Trades!$Y$4:$Y$140)-3)/(Trades!$Y$4:$Y$140="Sí"),ROW()-13),"")</f>
        <v/>
      </c>
      <c r="B65" s="16" t="str" cm="1">
        <f t="array" ref="B65">IF($A65="","",INDEX(Trades!$C:$C,$A65+3))</f>
        <v/>
      </c>
      <c r="C65" s="17" t="str" cm="1">
        <f t="array" ref="C65">IF($A65="","",INDEX(Trades!$D:$D,$A65+3))</f>
        <v/>
      </c>
      <c r="D65" s="17" t="str" cm="1">
        <f t="array" ref="D65">IF($A65="","",INDEX(Trades!$K:$K,$A65+3))</f>
        <v/>
      </c>
      <c r="E65" s="16" t="str" cm="1">
        <f t="array" ref="E65">IF($A65="","",INDEX(Trades!$N:$N,$A65+3))</f>
        <v/>
      </c>
      <c r="F65" s="16" t="str" cm="1">
        <f t="array" ref="F65">IF($A65="","",INDEX(Trades!$O:$O,$A65+3))</f>
        <v/>
      </c>
      <c r="G65" s="19" t="str" cm="1">
        <f t="array" ref="G65">IF($A65="","",INDEX(Trades!$L:$L,$A65+3))</f>
        <v/>
      </c>
      <c r="H65" s="18" t="str" cm="1">
        <f t="array" ref="H65">IF($A65="","",INDEX(Trades!$T:$T,$A65+3))</f>
        <v/>
      </c>
      <c r="I65" s="17" t="str" cm="1">
        <f t="array" ref="I65">IF($A65="","",INDEX(Trades!$V:$V,$A65+3))</f>
        <v/>
      </c>
      <c r="J65" s="19" t="str" cm="1">
        <f t="array" ref="J65">IF($A65="","",INDEX(Trades!$X:$X,$A65+3))</f>
        <v/>
      </c>
      <c r="K65" s="16" t="str" cm="1">
        <f t="array" ref="K65">IF($A65="","",INDEX(Trades!$W:$W,$A65+3))</f>
        <v/>
      </c>
      <c r="L65" s="18" t="str" cm="1">
        <f t="array" ref="L65">IF($A65="","",INDEX(Trades!$Z:$Z,$A65+3))</f>
        <v/>
      </c>
      <c r="M65" s="18" t="str" cm="1">
        <f t="array" ref="M65">IF($A65="","",INDEX(Trades!$Q:$Q,$A65+3))</f>
        <v/>
      </c>
    </row>
    <row r="66" spans="1:13" x14ac:dyDescent="0.3">
      <c r="A66" t="str" cm="1">
        <f t="array" ref="A66">IFERROR(_xlfn.AGGREGATE(15,6,(ROW(Trades!$Y$4:$Y$140)-3)/(Trades!$Y$4:$Y$140="Sí"),ROW()-13),"")</f>
        <v/>
      </c>
      <c r="B66" s="16" t="str" cm="1">
        <f t="array" ref="B66">IF($A66="","",INDEX(Trades!$C:$C,$A66+3))</f>
        <v/>
      </c>
      <c r="C66" s="17" t="str" cm="1">
        <f t="array" ref="C66">IF($A66="","",INDEX(Trades!$D:$D,$A66+3))</f>
        <v/>
      </c>
      <c r="D66" s="17" t="str" cm="1">
        <f t="array" ref="D66">IF($A66="","",INDEX(Trades!$K:$K,$A66+3))</f>
        <v/>
      </c>
      <c r="E66" s="16" t="str" cm="1">
        <f t="array" ref="E66">IF($A66="","",INDEX(Trades!$N:$N,$A66+3))</f>
        <v/>
      </c>
      <c r="F66" s="16" t="str" cm="1">
        <f t="array" ref="F66">IF($A66="","",INDEX(Trades!$O:$O,$A66+3))</f>
        <v/>
      </c>
      <c r="G66" s="19" t="str" cm="1">
        <f t="array" ref="G66">IF($A66="","",INDEX(Trades!$L:$L,$A66+3))</f>
        <v/>
      </c>
      <c r="H66" s="18" t="str" cm="1">
        <f t="array" ref="H66">IF($A66="","",INDEX(Trades!$T:$T,$A66+3))</f>
        <v/>
      </c>
      <c r="I66" s="17" t="str" cm="1">
        <f t="array" ref="I66">IF($A66="","",INDEX(Trades!$V:$V,$A66+3))</f>
        <v/>
      </c>
      <c r="J66" s="19" t="str" cm="1">
        <f t="array" ref="J66">IF($A66="","",INDEX(Trades!$X:$X,$A66+3))</f>
        <v/>
      </c>
      <c r="K66" s="16" t="str" cm="1">
        <f t="array" ref="K66">IF($A66="","",INDEX(Trades!$W:$W,$A66+3))</f>
        <v/>
      </c>
      <c r="L66" s="18" t="str" cm="1">
        <f t="array" ref="L66">IF($A66="","",INDEX(Trades!$Z:$Z,$A66+3))</f>
        <v/>
      </c>
      <c r="M66" s="18" t="str" cm="1">
        <f t="array" ref="M66">IF($A66="","",INDEX(Trades!$Q:$Q,$A66+3))</f>
        <v/>
      </c>
    </row>
    <row r="67" spans="1:13" x14ac:dyDescent="0.3">
      <c r="A67" t="str" cm="1">
        <f t="array" ref="A67">IFERROR(_xlfn.AGGREGATE(15,6,(ROW(Trades!$Y$4:$Y$140)-3)/(Trades!$Y$4:$Y$140="Sí"),ROW()-13),"")</f>
        <v/>
      </c>
      <c r="B67" s="16" t="str" cm="1">
        <f t="array" ref="B67">IF($A67="","",INDEX(Trades!$C:$C,$A67+3))</f>
        <v/>
      </c>
      <c r="C67" s="17" t="str" cm="1">
        <f t="array" ref="C67">IF($A67="","",INDEX(Trades!$D:$D,$A67+3))</f>
        <v/>
      </c>
      <c r="D67" s="17" t="str" cm="1">
        <f t="array" ref="D67">IF($A67="","",INDEX(Trades!$K:$K,$A67+3))</f>
        <v/>
      </c>
      <c r="E67" s="16" t="str" cm="1">
        <f t="array" ref="E67">IF($A67="","",INDEX(Trades!$N:$N,$A67+3))</f>
        <v/>
      </c>
      <c r="F67" s="16" t="str" cm="1">
        <f t="array" ref="F67">IF($A67="","",INDEX(Trades!$O:$O,$A67+3))</f>
        <v/>
      </c>
      <c r="G67" s="19" t="str" cm="1">
        <f t="array" ref="G67">IF($A67="","",INDEX(Trades!$L:$L,$A67+3))</f>
        <v/>
      </c>
      <c r="H67" s="18" t="str" cm="1">
        <f t="array" ref="H67">IF($A67="","",INDEX(Trades!$T:$T,$A67+3))</f>
        <v/>
      </c>
      <c r="I67" s="17" t="str" cm="1">
        <f t="array" ref="I67">IF($A67="","",INDEX(Trades!$V:$V,$A67+3))</f>
        <v/>
      </c>
      <c r="J67" s="19" t="str" cm="1">
        <f t="array" ref="J67">IF($A67="","",INDEX(Trades!$X:$X,$A67+3))</f>
        <v/>
      </c>
      <c r="K67" s="16" t="str" cm="1">
        <f t="array" ref="K67">IF($A67="","",INDEX(Trades!$W:$W,$A67+3))</f>
        <v/>
      </c>
      <c r="L67" s="18" t="str" cm="1">
        <f t="array" ref="L67">IF($A67="","",INDEX(Trades!$Z:$Z,$A67+3))</f>
        <v/>
      </c>
      <c r="M67" s="18" t="str" cm="1">
        <f t="array" ref="M67">IF($A67="","",INDEX(Trades!$Q:$Q,$A67+3))</f>
        <v/>
      </c>
    </row>
    <row r="68" spans="1:13" x14ac:dyDescent="0.3">
      <c r="A68" t="str" cm="1">
        <f t="array" ref="A68">IFERROR(_xlfn.AGGREGATE(15,6,(ROW(Trades!$Y$4:$Y$140)-3)/(Trades!$Y$4:$Y$140="Sí"),ROW()-13),"")</f>
        <v/>
      </c>
      <c r="B68" s="16" t="str" cm="1">
        <f t="array" ref="B68">IF($A68="","",INDEX(Trades!$C:$C,$A68+3))</f>
        <v/>
      </c>
      <c r="C68" s="17" t="str" cm="1">
        <f t="array" ref="C68">IF($A68="","",INDEX(Trades!$D:$D,$A68+3))</f>
        <v/>
      </c>
      <c r="D68" s="17" t="str" cm="1">
        <f t="array" ref="D68">IF($A68="","",INDEX(Trades!$K:$K,$A68+3))</f>
        <v/>
      </c>
      <c r="E68" s="16" t="str" cm="1">
        <f t="array" ref="E68">IF($A68="","",INDEX(Trades!$N:$N,$A68+3))</f>
        <v/>
      </c>
      <c r="F68" s="16" t="str" cm="1">
        <f t="array" ref="F68">IF($A68="","",INDEX(Trades!$O:$O,$A68+3))</f>
        <v/>
      </c>
      <c r="G68" s="19" t="str" cm="1">
        <f t="array" ref="G68">IF($A68="","",INDEX(Trades!$L:$L,$A68+3))</f>
        <v/>
      </c>
      <c r="H68" s="18" t="str" cm="1">
        <f t="array" ref="H68">IF($A68="","",INDEX(Trades!$T:$T,$A68+3))</f>
        <v/>
      </c>
      <c r="I68" s="17" t="str" cm="1">
        <f t="array" ref="I68">IF($A68="","",INDEX(Trades!$V:$V,$A68+3))</f>
        <v/>
      </c>
      <c r="J68" s="19" t="str" cm="1">
        <f t="array" ref="J68">IF($A68="","",INDEX(Trades!$X:$X,$A68+3))</f>
        <v/>
      </c>
      <c r="K68" s="16" t="str" cm="1">
        <f t="array" ref="K68">IF($A68="","",INDEX(Trades!$W:$W,$A68+3))</f>
        <v/>
      </c>
      <c r="L68" s="18" t="str" cm="1">
        <f t="array" ref="L68">IF($A68="","",INDEX(Trades!$Z:$Z,$A68+3))</f>
        <v/>
      </c>
      <c r="M68" s="18" t="str" cm="1">
        <f t="array" ref="M68">IF($A68="","",INDEX(Trades!$Q:$Q,$A68+3))</f>
        <v/>
      </c>
    </row>
    <row r="69" spans="1:13" x14ac:dyDescent="0.3">
      <c r="A69" t="str" cm="1">
        <f t="array" ref="A69">IFERROR(_xlfn.AGGREGATE(15,6,(ROW(Trades!$Y$4:$Y$140)-3)/(Trades!$Y$4:$Y$140="Sí"),ROW()-13),"")</f>
        <v/>
      </c>
      <c r="B69" s="16" t="str" cm="1">
        <f t="array" ref="B69">IF($A69="","",INDEX(Trades!$C:$C,$A69+3))</f>
        <v/>
      </c>
      <c r="C69" s="17" t="str" cm="1">
        <f t="array" ref="C69">IF($A69="","",INDEX(Trades!$D:$D,$A69+3))</f>
        <v/>
      </c>
      <c r="D69" s="17" t="str" cm="1">
        <f t="array" ref="D69">IF($A69="","",INDEX(Trades!$K:$K,$A69+3))</f>
        <v/>
      </c>
      <c r="E69" s="16" t="str" cm="1">
        <f t="array" ref="E69">IF($A69="","",INDEX(Trades!$N:$N,$A69+3))</f>
        <v/>
      </c>
      <c r="F69" s="16" t="str" cm="1">
        <f t="array" ref="F69">IF($A69="","",INDEX(Trades!$O:$O,$A69+3))</f>
        <v/>
      </c>
      <c r="G69" s="19" t="str" cm="1">
        <f t="array" ref="G69">IF($A69="","",INDEX(Trades!$L:$L,$A69+3))</f>
        <v/>
      </c>
      <c r="H69" s="18" t="str" cm="1">
        <f t="array" ref="H69">IF($A69="","",INDEX(Trades!$T:$T,$A69+3))</f>
        <v/>
      </c>
      <c r="I69" s="17" t="str" cm="1">
        <f t="array" ref="I69">IF($A69="","",INDEX(Trades!$V:$V,$A69+3))</f>
        <v/>
      </c>
      <c r="J69" s="19" t="str" cm="1">
        <f t="array" ref="J69">IF($A69="","",INDEX(Trades!$X:$X,$A69+3))</f>
        <v/>
      </c>
      <c r="K69" s="16" t="str" cm="1">
        <f t="array" ref="K69">IF($A69="","",INDEX(Trades!$W:$W,$A69+3))</f>
        <v/>
      </c>
      <c r="L69" s="18" t="str" cm="1">
        <f t="array" ref="L69">IF($A69="","",INDEX(Trades!$Z:$Z,$A69+3))</f>
        <v/>
      </c>
      <c r="M69" s="18" t="str" cm="1">
        <f t="array" ref="M69">IF($A69="","",INDEX(Trades!$Q:$Q,$A69+3))</f>
        <v/>
      </c>
    </row>
    <row r="70" spans="1:13" x14ac:dyDescent="0.3">
      <c r="A70" t="str" cm="1">
        <f t="array" ref="A70">IFERROR(_xlfn.AGGREGATE(15,6,(ROW(Trades!$Y$4:$Y$140)-3)/(Trades!$Y$4:$Y$140="Sí"),ROW()-13),"")</f>
        <v/>
      </c>
      <c r="B70" s="16" t="str" cm="1">
        <f t="array" ref="B70">IF($A70="","",INDEX(Trades!$C:$C,$A70+3))</f>
        <v/>
      </c>
      <c r="C70" s="17" t="str" cm="1">
        <f t="array" ref="C70">IF($A70="","",INDEX(Trades!$D:$D,$A70+3))</f>
        <v/>
      </c>
      <c r="D70" s="17" t="str" cm="1">
        <f t="array" ref="D70">IF($A70="","",INDEX(Trades!$K:$K,$A70+3))</f>
        <v/>
      </c>
      <c r="E70" s="16" t="str" cm="1">
        <f t="array" ref="E70">IF($A70="","",INDEX(Trades!$N:$N,$A70+3))</f>
        <v/>
      </c>
      <c r="F70" s="16" t="str" cm="1">
        <f t="array" ref="F70">IF($A70="","",INDEX(Trades!$O:$O,$A70+3))</f>
        <v/>
      </c>
      <c r="G70" s="19" t="str" cm="1">
        <f t="array" ref="G70">IF($A70="","",INDEX(Trades!$L:$L,$A70+3))</f>
        <v/>
      </c>
      <c r="H70" s="18" t="str" cm="1">
        <f t="array" ref="H70">IF($A70="","",INDEX(Trades!$T:$T,$A70+3))</f>
        <v/>
      </c>
      <c r="I70" s="17" t="str" cm="1">
        <f t="array" ref="I70">IF($A70="","",INDEX(Trades!$V:$V,$A70+3))</f>
        <v/>
      </c>
      <c r="J70" s="19" t="str" cm="1">
        <f t="array" ref="J70">IF($A70="","",INDEX(Trades!$X:$X,$A70+3))</f>
        <v/>
      </c>
      <c r="K70" s="16" t="str" cm="1">
        <f t="array" ref="K70">IF($A70="","",INDEX(Trades!$W:$W,$A70+3))</f>
        <v/>
      </c>
      <c r="L70" s="18" t="str" cm="1">
        <f t="array" ref="L70">IF($A70="","",INDEX(Trades!$Z:$Z,$A70+3))</f>
        <v/>
      </c>
      <c r="M70" s="18" t="str" cm="1">
        <f t="array" ref="M70">IF($A70="","",INDEX(Trades!$Q:$Q,$A70+3))</f>
        <v/>
      </c>
    </row>
    <row r="71" spans="1:13" x14ac:dyDescent="0.3">
      <c r="A71" t="str" cm="1">
        <f t="array" ref="A71">IFERROR(_xlfn.AGGREGATE(15,6,(ROW(Trades!$Y$4:$Y$140)-3)/(Trades!$Y$4:$Y$140="Sí"),ROW()-13),"")</f>
        <v/>
      </c>
      <c r="B71" s="16" t="str" cm="1">
        <f t="array" ref="B71">IF($A71="","",INDEX(Trades!$C:$C,$A71+3))</f>
        <v/>
      </c>
      <c r="C71" s="17" t="str" cm="1">
        <f t="array" ref="C71">IF($A71="","",INDEX(Trades!$D:$D,$A71+3))</f>
        <v/>
      </c>
      <c r="D71" s="17" t="str" cm="1">
        <f t="array" ref="D71">IF($A71="","",INDEX(Trades!$K:$K,$A71+3))</f>
        <v/>
      </c>
      <c r="E71" s="16" t="str" cm="1">
        <f t="array" ref="E71">IF($A71="","",INDEX(Trades!$N:$N,$A71+3))</f>
        <v/>
      </c>
      <c r="F71" s="16" t="str" cm="1">
        <f t="array" ref="F71">IF($A71="","",INDEX(Trades!$O:$O,$A71+3))</f>
        <v/>
      </c>
      <c r="G71" s="19" t="str" cm="1">
        <f t="array" ref="G71">IF($A71="","",INDEX(Trades!$L:$L,$A71+3))</f>
        <v/>
      </c>
      <c r="H71" s="18" t="str" cm="1">
        <f t="array" ref="H71">IF($A71="","",INDEX(Trades!$T:$T,$A71+3))</f>
        <v/>
      </c>
      <c r="I71" s="17" t="str" cm="1">
        <f t="array" ref="I71">IF($A71="","",INDEX(Trades!$V:$V,$A71+3))</f>
        <v/>
      </c>
      <c r="J71" s="19" t="str" cm="1">
        <f t="array" ref="J71">IF($A71="","",INDEX(Trades!$X:$X,$A71+3))</f>
        <v/>
      </c>
      <c r="K71" s="16" t="str" cm="1">
        <f t="array" ref="K71">IF($A71="","",INDEX(Trades!$W:$W,$A71+3))</f>
        <v/>
      </c>
      <c r="L71" s="18" t="str" cm="1">
        <f t="array" ref="L71">IF($A71="","",INDEX(Trades!$Z:$Z,$A71+3))</f>
        <v/>
      </c>
      <c r="M71" s="18" t="str" cm="1">
        <f t="array" ref="M71">IF($A71="","",INDEX(Trades!$Q:$Q,$A71+3))</f>
        <v/>
      </c>
    </row>
    <row r="72" spans="1:13" x14ac:dyDescent="0.3">
      <c r="A72" t="str" cm="1">
        <f t="array" ref="A72">IFERROR(_xlfn.AGGREGATE(15,6,(ROW(Trades!$Y$4:$Y$140)-3)/(Trades!$Y$4:$Y$140="Sí"),ROW()-13),"")</f>
        <v/>
      </c>
      <c r="B72" s="16" t="str" cm="1">
        <f t="array" ref="B72">IF($A72="","",INDEX(Trades!$C:$C,$A72+3))</f>
        <v/>
      </c>
      <c r="C72" s="17" t="str" cm="1">
        <f t="array" ref="C72">IF($A72="","",INDEX(Trades!$D:$D,$A72+3))</f>
        <v/>
      </c>
      <c r="D72" s="17" t="str" cm="1">
        <f t="array" ref="D72">IF($A72="","",INDEX(Trades!$K:$K,$A72+3))</f>
        <v/>
      </c>
      <c r="E72" s="16" t="str" cm="1">
        <f t="array" ref="E72">IF($A72="","",INDEX(Trades!$N:$N,$A72+3))</f>
        <v/>
      </c>
      <c r="F72" s="16" t="str" cm="1">
        <f t="array" ref="F72">IF($A72="","",INDEX(Trades!$O:$O,$A72+3))</f>
        <v/>
      </c>
      <c r="G72" s="19" t="str" cm="1">
        <f t="array" ref="G72">IF($A72="","",INDEX(Trades!$L:$L,$A72+3))</f>
        <v/>
      </c>
      <c r="H72" s="18" t="str" cm="1">
        <f t="array" ref="H72">IF($A72="","",INDEX(Trades!$T:$T,$A72+3))</f>
        <v/>
      </c>
      <c r="I72" s="17" t="str" cm="1">
        <f t="array" ref="I72">IF($A72="","",INDEX(Trades!$V:$V,$A72+3))</f>
        <v/>
      </c>
      <c r="J72" s="19" t="str" cm="1">
        <f t="array" ref="J72">IF($A72="","",INDEX(Trades!$X:$X,$A72+3))</f>
        <v/>
      </c>
      <c r="K72" s="16" t="str" cm="1">
        <f t="array" ref="K72">IF($A72="","",INDEX(Trades!$W:$W,$A72+3))</f>
        <v/>
      </c>
      <c r="L72" s="18" t="str" cm="1">
        <f t="array" ref="L72">IF($A72="","",INDEX(Trades!$Z:$Z,$A72+3))</f>
        <v/>
      </c>
      <c r="M72" s="18" t="str" cm="1">
        <f t="array" ref="M72">IF($A72="","",INDEX(Trades!$Q:$Q,$A72+3))</f>
        <v/>
      </c>
    </row>
    <row r="73" spans="1:13" x14ac:dyDescent="0.3">
      <c r="A73" t="str" cm="1">
        <f t="array" ref="A73">IFERROR(_xlfn.AGGREGATE(15,6,(ROW(Trades!$Y$4:$Y$140)-3)/(Trades!$Y$4:$Y$140="Sí"),ROW()-13),"")</f>
        <v/>
      </c>
      <c r="B73" s="16" t="str" cm="1">
        <f t="array" ref="B73">IF($A73="","",INDEX(Trades!$C:$C,$A73+3))</f>
        <v/>
      </c>
      <c r="C73" s="17" t="str" cm="1">
        <f t="array" ref="C73">IF($A73="","",INDEX(Trades!$D:$D,$A73+3))</f>
        <v/>
      </c>
      <c r="D73" s="17" t="str" cm="1">
        <f t="array" ref="D73">IF($A73="","",INDEX(Trades!$K:$K,$A73+3))</f>
        <v/>
      </c>
      <c r="E73" s="16" t="str" cm="1">
        <f t="array" ref="E73">IF($A73="","",INDEX(Trades!$N:$N,$A73+3))</f>
        <v/>
      </c>
      <c r="F73" s="16" t="str" cm="1">
        <f t="array" ref="F73">IF($A73="","",INDEX(Trades!$O:$O,$A73+3))</f>
        <v/>
      </c>
      <c r="G73" s="19" t="str" cm="1">
        <f t="array" ref="G73">IF($A73="","",INDEX(Trades!$L:$L,$A73+3))</f>
        <v/>
      </c>
      <c r="H73" s="18" t="str" cm="1">
        <f t="array" ref="H73">IF($A73="","",INDEX(Trades!$T:$T,$A73+3))</f>
        <v/>
      </c>
      <c r="I73" s="17" t="str" cm="1">
        <f t="array" ref="I73">IF($A73="","",INDEX(Trades!$V:$V,$A73+3))</f>
        <v/>
      </c>
      <c r="J73" s="19" t="str" cm="1">
        <f t="array" ref="J73">IF($A73="","",INDEX(Trades!$X:$X,$A73+3))</f>
        <v/>
      </c>
      <c r="K73" s="16" t="str" cm="1">
        <f t="array" ref="K73">IF($A73="","",INDEX(Trades!$W:$W,$A73+3))</f>
        <v/>
      </c>
      <c r="L73" s="18" t="str" cm="1">
        <f t="array" ref="L73">IF($A73="","",INDEX(Trades!$Z:$Z,$A73+3))</f>
        <v/>
      </c>
      <c r="M73" s="18" t="str" cm="1">
        <f t="array" ref="M73">IF($A73="","",INDEX(Trades!$Q:$Q,$A73+3))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09C1-50AC-47BA-B3C1-AD54ACCF2089}">
  <dimension ref="A1:K79"/>
  <sheetViews>
    <sheetView workbookViewId="0">
      <selection activeCell="B18" sqref="B18"/>
    </sheetView>
  </sheetViews>
  <sheetFormatPr baseColWidth="10" defaultRowHeight="14.4" x14ac:dyDescent="0.3"/>
  <cols>
    <col min="1" max="1" width="40.77734375" customWidth="1"/>
    <col min="2" max="10" width="16.6640625" customWidth="1"/>
    <col min="11" max="11" width="40.77734375" customWidth="1"/>
  </cols>
  <sheetData>
    <row r="1" spans="1:4" ht="18" x14ac:dyDescent="0.35">
      <c r="A1" s="3" t="s">
        <v>162</v>
      </c>
    </row>
    <row r="2" spans="1:4" x14ac:dyDescent="0.3">
      <c r="A2" s="11" t="s">
        <v>163</v>
      </c>
    </row>
    <row r="4" spans="1:4" ht="28.8" x14ac:dyDescent="0.3">
      <c r="A4" s="12" t="s">
        <v>164</v>
      </c>
      <c r="B4" s="12" t="s">
        <v>165</v>
      </c>
      <c r="C4" s="12" t="s">
        <v>166</v>
      </c>
      <c r="D4" s="12" t="s">
        <v>167</v>
      </c>
    </row>
    <row r="5" spans="1:4" x14ac:dyDescent="0.3">
      <c r="A5" t="s">
        <v>168</v>
      </c>
      <c r="B5" t="str">
        <f>"-"</f>
        <v>-</v>
      </c>
      <c r="C5" s="23">
        <f>Parametros!B7</f>
        <v>0</v>
      </c>
      <c r="D5" t="str">
        <f>"Tasa del año de entrada"</f>
        <v>Tasa del año de entrada</v>
      </c>
    </row>
    <row r="6" spans="1:4" x14ac:dyDescent="0.3">
      <c r="A6" t="s">
        <v>169</v>
      </c>
      <c r="B6">
        <f>COUNTIFS(Trades!$R$4:$R$140,"&lt;&gt;Abierto")</f>
        <v>136</v>
      </c>
      <c r="C6">
        <f>COUNTIFS(Trades!$R$4:$R$140,"&lt;&gt;Abierto")</f>
        <v>136</v>
      </c>
      <c r="D6">
        <f>COUNTIFS(Trades!$R$4:$R$140,"&lt;&gt;Abierto")</f>
        <v>136</v>
      </c>
    </row>
    <row r="7" spans="1:4" x14ac:dyDescent="0.3">
      <c r="A7" t="s">
        <v>170</v>
      </c>
      <c r="B7">
        <f>0</f>
        <v>0</v>
      </c>
      <c r="C7">
        <f>COUNTIFS(Trades!$R$4:$R$140,"&lt;&gt;Abierto",Trades!$AA$4:$AA$140,"No")</f>
        <v>2</v>
      </c>
      <c r="D7">
        <f>COUNTIFS(Trades!$R$4:$R$140,"&lt;&gt;Abierto",Trades!$AC$4:$AC$140,"No")</f>
        <v>6</v>
      </c>
    </row>
    <row r="8" spans="1:4" x14ac:dyDescent="0.3">
      <c r="A8" t="s">
        <v>171</v>
      </c>
      <c r="B8">
        <f>0</f>
        <v>0</v>
      </c>
      <c r="C8">
        <f>COUNTIFS(Trades!$R$4:$R$140,"Ganador",Trades!$AA$4:$AA$140,"No")</f>
        <v>1</v>
      </c>
      <c r="D8">
        <f>COUNTIFS(Trades!$R$4:$R$140,"Ganador",Trades!$AC$4:$AC$140,"No")</f>
        <v>4</v>
      </c>
    </row>
    <row r="9" spans="1:4" x14ac:dyDescent="0.3">
      <c r="A9" t="s">
        <v>172</v>
      </c>
      <c r="B9" s="14">
        <f>0</f>
        <v>0</v>
      </c>
      <c r="C9" s="14">
        <f>IFERROR(AVERAGEIFS(Trades!$Q$4:$Q$140,Trades!$R$4:$R$140,"&lt;&gt;Abierto",Trades!$AA$4:$AA$140,"No"),0)</f>
        <v>1.2213203797246219E-2</v>
      </c>
      <c r="D9" s="14">
        <f>IFERROR(AVERAGEIFS(Trades!$Q$4:$Q$140,Trades!$R$4:$R$140,"&lt;&gt;Abierto",Trades!$AC$4:$AC$140,"No"),0)</f>
        <v>2.7182700539948479E-2</v>
      </c>
    </row>
    <row r="10" spans="1:4" x14ac:dyDescent="0.3">
      <c r="A10" t="s">
        <v>173</v>
      </c>
      <c r="B10" s="14">
        <f>0</f>
        <v>0</v>
      </c>
      <c r="C10" s="14">
        <f>SUMIFS(Trades!$Q$4:$Q$140,Trades!$R$4:$R$140,"&lt;&gt;Abierto",Trades!$AA$4:$AA$140,"No")</f>
        <v>2.4426407594492439E-2</v>
      </c>
      <c r="D10" s="14">
        <f>SUMIFS(Trades!$Q$4:$Q$140,Trades!$R$4:$R$140,"&lt;&gt;Abierto",Trades!$AC$4:$AC$140,"No")</f>
        <v>0.16309620323969087</v>
      </c>
    </row>
    <row r="11" spans="1:4" x14ac:dyDescent="0.3">
      <c r="A11" t="s">
        <v>174</v>
      </c>
      <c r="B11">
        <f>COUNTIFS(Trades!$R$4:$R$140,"&lt;&gt;Abierto")</f>
        <v>136</v>
      </c>
      <c r="C11">
        <f>COUNTIFS(Trades!$R$4:$R$140,"&lt;&gt;Abierto",Trades!$AA$4:$AA$140,"Sí")</f>
        <v>134</v>
      </c>
      <c r="D11">
        <f>COUNTIFS(Trades!$R$4:$R$140,"&lt;&gt;Abierto",Trades!$AC$4:$AC$140,"Sí")</f>
        <v>130</v>
      </c>
    </row>
    <row r="12" spans="1:4" x14ac:dyDescent="0.3">
      <c r="A12" t="s">
        <v>175</v>
      </c>
      <c r="B12" s="14">
        <f>IFERROR(COUNTIF(Trades!$R$4:$R$140,"Ganador")/B6,0)</f>
        <v>0.49264705882352944</v>
      </c>
      <c r="C12" s="14">
        <f>IFERROR(COUNTIFS(Trades!$R$4:$R$140,"Ganador",Trades!$AA$4:$AA$140,"Sí")/COUNTIFS(Trades!$R$4:$R$140,"&lt;&gt;Abierto",Trades!$AA$4:$AA$140,"Sí"),0)</f>
        <v>0.4925373134328358</v>
      </c>
      <c r="D12" s="14">
        <f>IFERROR(COUNTIFS(Trades!$R$4:$R$140,"Ganador",Trades!$AC$4:$AC$140,"Sí")/COUNTIFS(Trades!$R$4:$R$140,"&lt;&gt;Abierto",Trades!$AC$4:$AC$140,"Sí"),0)</f>
        <v>0.48461538461538461</v>
      </c>
    </row>
    <row r="13" spans="1:4" x14ac:dyDescent="0.3">
      <c r="A13" t="s">
        <v>176</v>
      </c>
      <c r="B13" s="14">
        <f>IFERROR(AVERAGEIFS(Trades!$Q$4:$Q$140,Trades!$R$4:$R$140,"&lt;&gt;Abierto"),0)</f>
        <v>9.6218743483969388E-3</v>
      </c>
      <c r="C13" s="14">
        <f>IFERROR(AVERAGEIFS(Trades!$Q$4:$Q$140,Trades!$R$4:$R$140,"&lt;&gt;Abierto",Trades!$AA$4:$AA$140,"Sí"),0)</f>
        <v>9.5831977894588905E-3</v>
      </c>
      <c r="D13" s="14">
        <f>IFERROR(AVERAGEIFS(Trades!$Q$4:$Q$140,Trades!$R$4:$R$140,"&lt;&gt;Abierto",Trades!$AC$4:$AC$140,"Sí"),0)</f>
        <v>8.8113746780176389E-3</v>
      </c>
    </row>
    <row r="14" spans="1:4" x14ac:dyDescent="0.3">
      <c r="A14" t="s">
        <v>177</v>
      </c>
      <c r="B14" s="14">
        <f>SUMIFS(Trades!$Q$4:$Q$140,Trades!$R$4:$R$140,"&lt;&gt;Abierto")</f>
        <v>1.3085749113819838</v>
      </c>
      <c r="C14" s="14">
        <f>SUMIFS(Trades!$Q$4:$Q$140,Trades!$R$4:$R$140,"&lt;&gt;Abierto",Trades!$AA$4:$AA$140,"Sí")</f>
        <v>1.2841485037874913</v>
      </c>
      <c r="D14" s="14">
        <f>SUMIFS(Trades!$Q$4:$Q$140,Trades!$R$4:$R$140,"&lt;&gt;Abierto",Trades!$AC$4:$AC$140,"Sí")</f>
        <v>1.145478708142293</v>
      </c>
    </row>
    <row r="15" spans="1:4" x14ac:dyDescent="0.3">
      <c r="A15" s="4" t="s">
        <v>178</v>
      </c>
      <c r="B15" s="24">
        <f>B14-$B$14</f>
        <v>0</v>
      </c>
      <c r="C15" s="24">
        <f>C14-$B$14</f>
        <v>-2.4426407594492439E-2</v>
      </c>
      <c r="D15" s="24">
        <f>D14-$B$14</f>
        <v>-0.16309620323969076</v>
      </c>
    </row>
    <row r="18" spans="1:11" x14ac:dyDescent="0.3">
      <c r="A18" s="4" t="s">
        <v>179</v>
      </c>
    </row>
    <row r="19" spans="1:11" x14ac:dyDescent="0.3">
      <c r="A19" s="12" t="s">
        <v>160</v>
      </c>
      <c r="B19" s="12" t="s">
        <v>58</v>
      </c>
      <c r="C19" s="12" t="s">
        <v>103</v>
      </c>
      <c r="D19" s="12" t="s">
        <v>104</v>
      </c>
      <c r="E19" s="12" t="s">
        <v>180</v>
      </c>
      <c r="F19" s="12" t="s">
        <v>127</v>
      </c>
      <c r="G19" s="12" t="s">
        <v>181</v>
      </c>
      <c r="H19" s="12" t="s">
        <v>182</v>
      </c>
      <c r="I19" s="12" t="s">
        <v>161</v>
      </c>
      <c r="J19" s="12" t="s">
        <v>117</v>
      </c>
      <c r="K19" s="12" t="s">
        <v>113</v>
      </c>
    </row>
    <row r="20" spans="1:11" x14ac:dyDescent="0.3">
      <c r="A20" cm="1">
        <f t="array" ref="A20">IFERROR(_xlfn.AGGREGATE(15,6,(ROW(Trades!$AC$4:$AC$140)-3)/((Trades!$AA$4:$AA$140="No")+(Trades!$AC$4:$AC$140="No")&gt;0),ROW()-19),"")</f>
        <v>38</v>
      </c>
      <c r="B20" s="16" t="str" cm="1">
        <f t="array" ref="B20">IF($A20="","",INDEX(Trades!$C:$C,$A20+3))</f>
        <v>XLY</v>
      </c>
      <c r="C20" s="17" cm="1">
        <f t="array" ref="C20">IF($A20="","",INDEX(Trades!$D:$D,$A20+3))</f>
        <v>43495</v>
      </c>
      <c r="D20" s="16" cm="1">
        <f t="array" ref="D20">IF($A20="","",INDEX(Trades!$E:$E,$A20+3))</f>
        <v>3</v>
      </c>
      <c r="E20" s="25" cm="1">
        <f t="array" ref="E20">IF($A20="","",INDEX(Trades!$F:$F,$A20+3))</f>
        <v>4.1999999999999997E-3</v>
      </c>
      <c r="F20" s="26" cm="1">
        <f t="array" ref="F20">IF($A20="","",INDEX(Trades!$AB:$AB,$A20+3))</f>
        <v>2.1000000000000001E-2</v>
      </c>
      <c r="G20" s="16" t="str" cm="1">
        <f t="array" ref="G20">IF($A20="","",INDEX(Trades!$AA:$AA,$A20+3))</f>
        <v>Sí</v>
      </c>
      <c r="H20" s="16" t="str" cm="1">
        <f t="array" ref="H20">IF($A20="","",INDEX(Trades!$AC:$AC,$A20+3))</f>
        <v>No</v>
      </c>
      <c r="I20" s="18" cm="1">
        <f t="array" ref="I20">IF($A20="","",INDEX(Trades!$Q:$Q,$A20+3))</f>
        <v>3.9554760484992846E-2</v>
      </c>
      <c r="J20" s="16" t="str" cm="1">
        <f t="array" ref="J20">IF($A20="","",INDEX(Trades!$R:$R,$A20+3))</f>
        <v>Ganador</v>
      </c>
      <c r="K20" s="16" t="str" cm="1">
        <f t="array" ref="K20">IF($A20="","",INDEX(Trades!$N:$N,$A20+3))</f>
        <v>cae del ranking (&gt;#5)</v>
      </c>
    </row>
    <row r="21" spans="1:11" x14ac:dyDescent="0.3">
      <c r="A21" cm="1">
        <f t="array" ref="A21">IFERROR(_xlfn.AGGREGATE(15,6,(ROW(Trades!$AC$4:$AC$140)-3)/((Trades!$AA$4:$AA$140="No")+(Trades!$AC$4:$AC$140="No")&gt;0),ROW()-19),"")</f>
        <v>87</v>
      </c>
      <c r="B21" s="16" t="str" cm="1">
        <f t="array" ref="B21">IF($A21="","",INDEX(Trades!$C:$C,$A21+3))</f>
        <v>XLV</v>
      </c>
      <c r="C21" s="17" cm="1">
        <f t="array" ref="C21">IF($A21="","",INDEX(Trades!$D:$D,$A21+3))</f>
        <v>44858</v>
      </c>
      <c r="D21" s="16" cm="1">
        <f t="array" ref="D21">IF($A21="","",INDEX(Trades!$E:$E,$A21+3))</f>
        <v>3</v>
      </c>
      <c r="E21" s="25" cm="1">
        <f t="array" ref="E21">IF($A21="","",INDEX(Trades!$F:$F,$A21+3))</f>
        <v>-5.4999999999999997E-3</v>
      </c>
      <c r="F21" s="26" cm="1">
        <f t="array" ref="F21">IF($A21="","",INDEX(Trades!$AB:$AB,$A21+3))</f>
        <v>0.02</v>
      </c>
      <c r="G21" s="16" t="str" cm="1">
        <f t="array" ref="G21">IF($A21="","",INDEX(Trades!$AA:$AA,$A21+3))</f>
        <v>No</v>
      </c>
      <c r="H21" s="16" t="str" cm="1">
        <f t="array" ref="H21">IF($A21="","",INDEX(Trades!$AC:$AC,$A21+3))</f>
        <v>No</v>
      </c>
      <c r="I21" s="18" cm="1">
        <f t="array" ref="I21">IF($A21="","",INDEX(Trades!$Q:$Q,$A21+3))</f>
        <v>3.8537712493810661E-2</v>
      </c>
      <c r="J21" s="16" t="str" cm="1">
        <f t="array" ref="J21">IF($A21="","",INDEX(Trades!$R:$R,$A21+3))</f>
        <v>Ganador</v>
      </c>
      <c r="K21" s="16" t="str" cm="1">
        <f t="array" ref="K21">IF($A21="","",INDEX(Trades!$N:$N,$A21+3))</f>
        <v>ruptura piso Donchian</v>
      </c>
    </row>
    <row r="22" spans="1:11" x14ac:dyDescent="0.3">
      <c r="A22" cm="1">
        <f t="array" ref="A22">IFERROR(_xlfn.AGGREGATE(15,6,(ROW(Trades!$AC$4:$AC$140)-3)/((Trades!$AA$4:$AA$140="No")+(Trades!$AC$4:$AC$140="No")&gt;0),ROW()-19),"")</f>
        <v>90</v>
      </c>
      <c r="B22" s="16" t="str" cm="1">
        <f t="array" ref="B22">IF($A22="","",INDEX(Trades!$C:$C,$A22+3))</f>
        <v>XLB</v>
      </c>
      <c r="C22" s="17" cm="1">
        <f t="array" ref="C22">IF($A22="","",INDEX(Trades!$D:$D,$A22+3))</f>
        <v>44957</v>
      </c>
      <c r="D22" s="16" cm="1">
        <f t="array" ref="D22">IF($A22="","",INDEX(Trades!$E:$E,$A22+3))</f>
        <v>3</v>
      </c>
      <c r="E22" s="25" cm="1">
        <f t="array" ref="E22">IF($A22="","",INDEX(Trades!$F:$F,$A22+3))</f>
        <v>4.0599999999999997E-2</v>
      </c>
      <c r="F22" s="26" cm="1">
        <f t="array" ref="F22">IF($A22="","",INDEX(Trades!$AB:$AB,$A22+3))</f>
        <v>5.0999999999999997E-2</v>
      </c>
      <c r="G22" s="16" t="str" cm="1">
        <f t="array" ref="G22">IF($A22="","",INDEX(Trades!$AA:$AA,$A22+3))</f>
        <v>Sí</v>
      </c>
      <c r="H22" s="16" t="str" cm="1">
        <f t="array" ref="H22">IF($A22="","",INDEX(Trades!$AC:$AC,$A22+3))</f>
        <v>No</v>
      </c>
      <c r="I22" s="18" cm="1">
        <f t="array" ref="I22">IF($A22="","",INDEX(Trades!$Q:$Q,$A22+3))</f>
        <v>-3.1068451629199356E-2</v>
      </c>
      <c r="J22" s="16" t="str" cm="1">
        <f t="array" ref="J22">IF($A22="","",INDEX(Trades!$R:$R,$A22+3))</f>
        <v>Perdedor</v>
      </c>
      <c r="K22" s="16" t="str" cm="1">
        <f t="array" ref="K22">IF($A22="","",INDEX(Trades!$N:$N,$A22+3))</f>
        <v>cae del ranking (&gt;#5)</v>
      </c>
    </row>
    <row r="23" spans="1:11" x14ac:dyDescent="0.3">
      <c r="A23" cm="1">
        <f t="array" ref="A23">IFERROR(_xlfn.AGGREGATE(15,6,(ROW(Trades!$AC$4:$AC$140)-3)/((Trades!$AA$4:$AA$140="No")+(Trades!$AC$4:$AC$140="No")&gt;0),ROW()-19),"")</f>
        <v>91</v>
      </c>
      <c r="B23" s="16" t="str" cm="1">
        <f t="array" ref="B23">IF($A23="","",INDEX(Trades!$C:$C,$A23+3))</f>
        <v>XLP</v>
      </c>
      <c r="C23" s="17" cm="1">
        <f t="array" ref="C23">IF($A23="","",INDEX(Trades!$D:$D,$A23+3))</f>
        <v>45012</v>
      </c>
      <c r="D23" s="16" cm="1">
        <f t="array" ref="D23">IF($A23="","",INDEX(Trades!$E:$E,$A23+3))</f>
        <v>2</v>
      </c>
      <c r="E23" s="25" cm="1">
        <f t="array" ref="E23">IF($A23="","",INDEX(Trades!$F:$F,$A23+3))</f>
        <v>1.1599999999999999E-2</v>
      </c>
      <c r="F23" s="26" cm="1">
        <f t="array" ref="F23">IF($A23="","",INDEX(Trades!$AB:$AB,$A23+3))</f>
        <v>5.0999999999999997E-2</v>
      </c>
      <c r="G23" s="16" t="str" cm="1">
        <f t="array" ref="G23">IF($A23="","",INDEX(Trades!$AA:$AA,$A23+3))</f>
        <v>Sí</v>
      </c>
      <c r="H23" s="16" t="str" cm="1">
        <f t="array" ref="H23">IF($A23="","",INDEX(Trades!$AC:$AC,$A23+3))</f>
        <v>No</v>
      </c>
      <c r="I23" s="18" cm="1">
        <f t="array" ref="I23">IF($A23="","",INDEX(Trades!$Q:$Q,$A23+3))</f>
        <v>5.5704498063747332E-2</v>
      </c>
      <c r="J23" s="16" t="str" cm="1">
        <f t="array" ref="J23">IF($A23="","",INDEX(Trades!$R:$R,$A23+3))</f>
        <v>Ganador</v>
      </c>
      <c r="K23" s="16" t="str" cm="1">
        <f t="array" ref="K23">IF($A23="","",INDEX(Trades!$N:$N,$A23+3))</f>
        <v>cae del ranking (&gt;#5)</v>
      </c>
    </row>
    <row r="24" spans="1:11" x14ac:dyDescent="0.3">
      <c r="A24" cm="1">
        <f t="array" ref="A24">IFERROR(_xlfn.AGGREGATE(15,6,(ROW(Trades!$AC$4:$AC$140)-3)/((Trades!$AA$4:$AA$140="No")+(Trades!$AC$4:$AC$140="No")&gt;0),ROW()-19),"")</f>
        <v>92</v>
      </c>
      <c r="B24" s="16" t="str" cm="1">
        <f t="array" ref="B24">IF($A24="","",INDEX(Trades!$C:$C,$A24+3))</f>
        <v>XLV</v>
      </c>
      <c r="C24" s="17" cm="1">
        <f t="array" ref="C24">IF($A24="","",INDEX(Trades!$D:$D,$A24+3))</f>
        <v>45021</v>
      </c>
      <c r="D24" s="16" cm="1">
        <f t="array" ref="D24">IF($A24="","",INDEX(Trades!$E:$E,$A24+3))</f>
        <v>3</v>
      </c>
      <c r="E24" s="25" cm="1">
        <f t="array" ref="E24">IF($A24="","",INDEX(Trades!$F:$F,$A24+3))</f>
        <v>-1.14E-2</v>
      </c>
      <c r="F24" s="26" cm="1">
        <f t="array" ref="F24">IF($A24="","",INDEX(Trades!$AB:$AB,$A24+3))</f>
        <v>5.0999999999999997E-2</v>
      </c>
      <c r="G24" s="16" t="str" cm="1">
        <f t="array" ref="G24">IF($A24="","",INDEX(Trades!$AA:$AA,$A24+3))</f>
        <v>No</v>
      </c>
      <c r="H24" s="16" t="str" cm="1">
        <f t="array" ref="H24">IF($A24="","",INDEX(Trades!$AC:$AC,$A24+3))</f>
        <v>No</v>
      </c>
      <c r="I24" s="18" cm="1">
        <f t="array" ref="I24">IF($A24="","",INDEX(Trades!$Q:$Q,$A24+3))</f>
        <v>-1.4111304899318222E-2</v>
      </c>
      <c r="J24" s="16" t="str" cm="1">
        <f t="array" ref="J24">IF($A24="","",INDEX(Trades!$R:$R,$A24+3))</f>
        <v>Perdedor</v>
      </c>
      <c r="K24" s="16" t="str" cm="1">
        <f t="array" ref="K24">IF($A24="","",INDEX(Trades!$N:$N,$A24+3))</f>
        <v>cae del ranking (&gt;#5)</v>
      </c>
    </row>
    <row r="25" spans="1:11" x14ac:dyDescent="0.3">
      <c r="A25" cm="1">
        <f t="array" ref="A25">IFERROR(_xlfn.AGGREGATE(15,6,(ROW(Trades!$AC$4:$AC$140)-3)/((Trades!$AA$4:$AA$140="No")+(Trades!$AC$4:$AC$140="No")&gt;0),ROW()-19),"")</f>
        <v>94</v>
      </c>
      <c r="B25" s="16" t="str" cm="1">
        <f t="array" ref="B25">IF($A25="","",INDEX(Trades!$C:$C,$A25+3))</f>
        <v>XLC</v>
      </c>
      <c r="C25" s="17" cm="1">
        <f t="array" ref="C25">IF($A25="","",INDEX(Trades!$D:$D,$A25+3))</f>
        <v>45063</v>
      </c>
      <c r="D25" s="16" cm="1">
        <f t="array" ref="D25">IF($A25="","",INDEX(Trades!$E:$E,$A25+3))</f>
        <v>3</v>
      </c>
      <c r="E25" s="25" cm="1">
        <f t="array" ref="E25">IF($A25="","",INDEX(Trades!$F:$F,$A25+3))</f>
        <v>4.4600000000000001E-2</v>
      </c>
      <c r="F25" s="26" cm="1">
        <f t="array" ref="F25">IF($A25="","",INDEX(Trades!$AB:$AB,$A25+3))</f>
        <v>5.0999999999999997E-2</v>
      </c>
      <c r="G25" s="16" t="str" cm="1">
        <f t="array" ref="G25">IF($A25="","",INDEX(Trades!$AA:$AA,$A25+3))</f>
        <v>Sí</v>
      </c>
      <c r="H25" s="16" t="str" cm="1">
        <f t="array" ref="H25">IF($A25="","",INDEX(Trades!$AC:$AC,$A25+3))</f>
        <v>No</v>
      </c>
      <c r="I25" s="18" cm="1">
        <f t="array" ref="I25">IF($A25="","",INDEX(Trades!$Q:$Q,$A25+3))</f>
        <v>7.4478988725657613E-2</v>
      </c>
      <c r="J25" s="16" t="str" cm="1">
        <f t="array" ref="J25">IF($A25="","",INDEX(Trades!$R:$R,$A25+3))</f>
        <v>Ganador</v>
      </c>
      <c r="K25" s="16" t="str" cm="1">
        <f t="array" ref="K25">IF($A25="","",INDEX(Trades!$N:$N,$A25+3))</f>
        <v>ruptura piso Donchian</v>
      </c>
    </row>
    <row r="26" spans="1:11" x14ac:dyDescent="0.3">
      <c r="A26" t="str" cm="1">
        <f t="array" ref="A26">IFERROR(_xlfn.AGGREGATE(15,6,(ROW(Trades!$AC$4:$AC$140)-3)/((Trades!$AA$4:$AA$140="No")+(Trades!$AC$4:$AC$140="No")&gt;0),ROW()-19),"")</f>
        <v/>
      </c>
      <c r="B26" s="16" t="str" cm="1">
        <f t="array" ref="B26">IF($A26="","",INDEX(Trades!$C:$C,$A26+3))</f>
        <v/>
      </c>
      <c r="C26" s="17" t="str" cm="1">
        <f t="array" ref="C26">IF($A26="","",INDEX(Trades!$D:$D,$A26+3))</f>
        <v/>
      </c>
      <c r="D26" s="16" t="str" cm="1">
        <f t="array" ref="D26">IF($A26="","",INDEX(Trades!$E:$E,$A26+3))</f>
        <v/>
      </c>
      <c r="E26" s="25" t="str" cm="1">
        <f t="array" ref="E26">IF($A26="","",INDEX(Trades!$F:$F,$A26+3))</f>
        <v/>
      </c>
      <c r="F26" s="26" t="str" cm="1">
        <f t="array" ref="F26">IF($A26="","",INDEX(Trades!$AB:$AB,$A26+3))</f>
        <v/>
      </c>
      <c r="G26" s="16" t="str" cm="1">
        <f t="array" ref="G26">IF($A26="","",INDEX(Trades!$AA:$AA,$A26+3))</f>
        <v/>
      </c>
      <c r="H26" s="16" t="str" cm="1">
        <f t="array" ref="H26">IF($A26="","",INDEX(Trades!$AC:$AC,$A26+3))</f>
        <v/>
      </c>
      <c r="I26" s="18" t="str" cm="1">
        <f t="array" ref="I26">IF($A26="","",INDEX(Trades!$Q:$Q,$A26+3))</f>
        <v/>
      </c>
      <c r="J26" s="16" t="str" cm="1">
        <f t="array" ref="J26">IF($A26="","",INDEX(Trades!$R:$R,$A26+3))</f>
        <v/>
      </c>
      <c r="K26" s="16" t="str" cm="1">
        <f t="array" ref="K26">IF($A26="","",INDEX(Trades!$N:$N,$A26+3))</f>
        <v/>
      </c>
    </row>
    <row r="27" spans="1:11" x14ac:dyDescent="0.3">
      <c r="A27" t="str" cm="1">
        <f t="array" ref="A27">IFERROR(_xlfn.AGGREGATE(15,6,(ROW(Trades!$AC$4:$AC$140)-3)/((Trades!$AA$4:$AA$140="No")+(Trades!$AC$4:$AC$140="No")&gt;0),ROW()-19),"")</f>
        <v/>
      </c>
      <c r="B27" s="16" t="str" cm="1">
        <f t="array" ref="B27">IF($A27="","",INDEX(Trades!$C:$C,$A27+3))</f>
        <v/>
      </c>
      <c r="C27" s="17" t="str" cm="1">
        <f t="array" ref="C27">IF($A27="","",INDEX(Trades!$D:$D,$A27+3))</f>
        <v/>
      </c>
      <c r="D27" s="16" t="str" cm="1">
        <f t="array" ref="D27">IF($A27="","",INDEX(Trades!$E:$E,$A27+3))</f>
        <v/>
      </c>
      <c r="E27" s="25" t="str" cm="1">
        <f t="array" ref="E27">IF($A27="","",INDEX(Trades!$F:$F,$A27+3))</f>
        <v/>
      </c>
      <c r="F27" s="26" t="str" cm="1">
        <f t="array" ref="F27">IF($A27="","",INDEX(Trades!$AB:$AB,$A27+3))</f>
        <v/>
      </c>
      <c r="G27" s="16" t="str" cm="1">
        <f t="array" ref="G27">IF($A27="","",INDEX(Trades!$AA:$AA,$A27+3))</f>
        <v/>
      </c>
      <c r="H27" s="16" t="str" cm="1">
        <f t="array" ref="H27">IF($A27="","",INDEX(Trades!$AC:$AC,$A27+3))</f>
        <v/>
      </c>
      <c r="I27" s="18" t="str" cm="1">
        <f t="array" ref="I27">IF($A27="","",INDEX(Trades!$Q:$Q,$A27+3))</f>
        <v/>
      </c>
      <c r="J27" s="16" t="str" cm="1">
        <f t="array" ref="J27">IF($A27="","",INDEX(Trades!$R:$R,$A27+3))</f>
        <v/>
      </c>
      <c r="K27" s="16" t="str" cm="1">
        <f t="array" ref="K27">IF($A27="","",INDEX(Trades!$N:$N,$A27+3))</f>
        <v/>
      </c>
    </row>
    <row r="28" spans="1:11" x14ac:dyDescent="0.3">
      <c r="A28" t="str" cm="1">
        <f t="array" ref="A28">IFERROR(_xlfn.AGGREGATE(15,6,(ROW(Trades!$AC$4:$AC$140)-3)/((Trades!$AA$4:$AA$140="No")+(Trades!$AC$4:$AC$140="No")&gt;0),ROW()-19),"")</f>
        <v/>
      </c>
      <c r="B28" s="16" t="str" cm="1">
        <f t="array" ref="B28">IF($A28="","",INDEX(Trades!$C:$C,$A28+3))</f>
        <v/>
      </c>
      <c r="C28" s="17" t="str" cm="1">
        <f t="array" ref="C28">IF($A28="","",INDEX(Trades!$D:$D,$A28+3))</f>
        <v/>
      </c>
      <c r="D28" s="16" t="str" cm="1">
        <f t="array" ref="D28">IF($A28="","",INDEX(Trades!$E:$E,$A28+3))</f>
        <v/>
      </c>
      <c r="E28" s="25" t="str" cm="1">
        <f t="array" ref="E28">IF($A28="","",INDEX(Trades!$F:$F,$A28+3))</f>
        <v/>
      </c>
      <c r="F28" s="26" t="str" cm="1">
        <f t="array" ref="F28">IF($A28="","",INDEX(Trades!$AB:$AB,$A28+3))</f>
        <v/>
      </c>
      <c r="G28" s="16" t="str" cm="1">
        <f t="array" ref="G28">IF($A28="","",INDEX(Trades!$AA:$AA,$A28+3))</f>
        <v/>
      </c>
      <c r="H28" s="16" t="str" cm="1">
        <f t="array" ref="H28">IF($A28="","",INDEX(Trades!$AC:$AC,$A28+3))</f>
        <v/>
      </c>
      <c r="I28" s="18" t="str" cm="1">
        <f t="array" ref="I28">IF($A28="","",INDEX(Trades!$Q:$Q,$A28+3))</f>
        <v/>
      </c>
      <c r="J28" s="16" t="str" cm="1">
        <f t="array" ref="J28">IF($A28="","",INDEX(Trades!$R:$R,$A28+3))</f>
        <v/>
      </c>
      <c r="K28" s="16" t="str" cm="1">
        <f t="array" ref="K28">IF($A28="","",INDEX(Trades!$N:$N,$A28+3))</f>
        <v/>
      </c>
    </row>
    <row r="29" spans="1:11" x14ac:dyDescent="0.3">
      <c r="A29" t="str" cm="1">
        <f t="array" ref="A29">IFERROR(_xlfn.AGGREGATE(15,6,(ROW(Trades!$AC$4:$AC$140)-3)/((Trades!$AA$4:$AA$140="No")+(Trades!$AC$4:$AC$140="No")&gt;0),ROW()-19),"")</f>
        <v/>
      </c>
      <c r="B29" s="16" t="str" cm="1">
        <f t="array" ref="B29">IF($A29="","",INDEX(Trades!$C:$C,$A29+3))</f>
        <v/>
      </c>
      <c r="C29" s="17" t="str" cm="1">
        <f t="array" ref="C29">IF($A29="","",INDEX(Trades!$D:$D,$A29+3))</f>
        <v/>
      </c>
      <c r="D29" s="16" t="str" cm="1">
        <f t="array" ref="D29">IF($A29="","",INDEX(Trades!$E:$E,$A29+3))</f>
        <v/>
      </c>
      <c r="E29" s="25" t="str" cm="1">
        <f t="array" ref="E29">IF($A29="","",INDEX(Trades!$F:$F,$A29+3))</f>
        <v/>
      </c>
      <c r="F29" s="26" t="str" cm="1">
        <f t="array" ref="F29">IF($A29="","",INDEX(Trades!$AB:$AB,$A29+3))</f>
        <v/>
      </c>
      <c r="G29" s="16" t="str" cm="1">
        <f t="array" ref="G29">IF($A29="","",INDEX(Trades!$AA:$AA,$A29+3))</f>
        <v/>
      </c>
      <c r="H29" s="16" t="str" cm="1">
        <f t="array" ref="H29">IF($A29="","",INDEX(Trades!$AC:$AC,$A29+3))</f>
        <v/>
      </c>
      <c r="I29" s="18" t="str" cm="1">
        <f t="array" ref="I29">IF($A29="","",INDEX(Trades!$Q:$Q,$A29+3))</f>
        <v/>
      </c>
      <c r="J29" s="16" t="str" cm="1">
        <f t="array" ref="J29">IF($A29="","",INDEX(Trades!$R:$R,$A29+3))</f>
        <v/>
      </c>
      <c r="K29" s="16" t="str" cm="1">
        <f t="array" ref="K29">IF($A29="","",INDEX(Trades!$N:$N,$A29+3))</f>
        <v/>
      </c>
    </row>
    <row r="30" spans="1:11" x14ac:dyDescent="0.3">
      <c r="A30" t="str" cm="1">
        <f t="array" ref="A30">IFERROR(_xlfn.AGGREGATE(15,6,(ROW(Trades!$AC$4:$AC$140)-3)/((Trades!$AA$4:$AA$140="No")+(Trades!$AC$4:$AC$140="No")&gt;0),ROW()-19),"")</f>
        <v/>
      </c>
      <c r="B30" s="16" t="str" cm="1">
        <f t="array" ref="B30">IF($A30="","",INDEX(Trades!$C:$C,$A30+3))</f>
        <v/>
      </c>
      <c r="C30" s="17" t="str" cm="1">
        <f t="array" ref="C30">IF($A30="","",INDEX(Trades!$D:$D,$A30+3))</f>
        <v/>
      </c>
      <c r="D30" s="16" t="str" cm="1">
        <f t="array" ref="D30">IF($A30="","",INDEX(Trades!$E:$E,$A30+3))</f>
        <v/>
      </c>
      <c r="E30" s="25" t="str" cm="1">
        <f t="array" ref="E30">IF($A30="","",INDEX(Trades!$F:$F,$A30+3))</f>
        <v/>
      </c>
      <c r="F30" s="26" t="str" cm="1">
        <f t="array" ref="F30">IF($A30="","",INDEX(Trades!$AB:$AB,$A30+3))</f>
        <v/>
      </c>
      <c r="G30" s="16" t="str" cm="1">
        <f t="array" ref="G30">IF($A30="","",INDEX(Trades!$AA:$AA,$A30+3))</f>
        <v/>
      </c>
      <c r="H30" s="16" t="str" cm="1">
        <f t="array" ref="H30">IF($A30="","",INDEX(Trades!$AC:$AC,$A30+3))</f>
        <v/>
      </c>
      <c r="I30" s="18" t="str" cm="1">
        <f t="array" ref="I30">IF($A30="","",INDEX(Trades!$Q:$Q,$A30+3))</f>
        <v/>
      </c>
      <c r="J30" s="16" t="str" cm="1">
        <f t="array" ref="J30">IF($A30="","",INDEX(Trades!$R:$R,$A30+3))</f>
        <v/>
      </c>
      <c r="K30" s="16" t="str" cm="1">
        <f t="array" ref="K30">IF($A30="","",INDEX(Trades!$N:$N,$A30+3))</f>
        <v/>
      </c>
    </row>
    <row r="31" spans="1:11" x14ac:dyDescent="0.3">
      <c r="A31" t="str" cm="1">
        <f t="array" ref="A31">IFERROR(_xlfn.AGGREGATE(15,6,(ROW(Trades!$AC$4:$AC$140)-3)/((Trades!$AA$4:$AA$140="No")+(Trades!$AC$4:$AC$140="No")&gt;0),ROW()-19),"")</f>
        <v/>
      </c>
      <c r="B31" s="16" t="str" cm="1">
        <f t="array" ref="B31">IF($A31="","",INDEX(Trades!$C:$C,$A31+3))</f>
        <v/>
      </c>
      <c r="C31" s="17" t="str" cm="1">
        <f t="array" ref="C31">IF($A31="","",INDEX(Trades!$D:$D,$A31+3))</f>
        <v/>
      </c>
      <c r="D31" s="16" t="str" cm="1">
        <f t="array" ref="D31">IF($A31="","",INDEX(Trades!$E:$E,$A31+3))</f>
        <v/>
      </c>
      <c r="E31" s="25" t="str" cm="1">
        <f t="array" ref="E31">IF($A31="","",INDEX(Trades!$F:$F,$A31+3))</f>
        <v/>
      </c>
      <c r="F31" s="26" t="str" cm="1">
        <f t="array" ref="F31">IF($A31="","",INDEX(Trades!$AB:$AB,$A31+3))</f>
        <v/>
      </c>
      <c r="G31" s="16" t="str" cm="1">
        <f t="array" ref="G31">IF($A31="","",INDEX(Trades!$AA:$AA,$A31+3))</f>
        <v/>
      </c>
      <c r="H31" s="16" t="str" cm="1">
        <f t="array" ref="H31">IF($A31="","",INDEX(Trades!$AC:$AC,$A31+3))</f>
        <v/>
      </c>
      <c r="I31" s="18" t="str" cm="1">
        <f t="array" ref="I31">IF($A31="","",INDEX(Trades!$Q:$Q,$A31+3))</f>
        <v/>
      </c>
      <c r="J31" s="16" t="str" cm="1">
        <f t="array" ref="J31">IF($A31="","",INDEX(Trades!$R:$R,$A31+3))</f>
        <v/>
      </c>
      <c r="K31" s="16" t="str" cm="1">
        <f t="array" ref="K31">IF($A31="","",INDEX(Trades!$N:$N,$A31+3))</f>
        <v/>
      </c>
    </row>
    <row r="32" spans="1:11" x14ac:dyDescent="0.3">
      <c r="A32" t="str" cm="1">
        <f t="array" ref="A32">IFERROR(_xlfn.AGGREGATE(15,6,(ROW(Trades!$AC$4:$AC$140)-3)/((Trades!$AA$4:$AA$140="No")+(Trades!$AC$4:$AC$140="No")&gt;0),ROW()-19),"")</f>
        <v/>
      </c>
      <c r="B32" s="16" t="str" cm="1">
        <f t="array" ref="B32">IF($A32="","",INDEX(Trades!$C:$C,$A32+3))</f>
        <v/>
      </c>
      <c r="C32" s="17" t="str" cm="1">
        <f t="array" ref="C32">IF($A32="","",INDEX(Trades!$D:$D,$A32+3))</f>
        <v/>
      </c>
      <c r="D32" s="16" t="str" cm="1">
        <f t="array" ref="D32">IF($A32="","",INDEX(Trades!$E:$E,$A32+3))</f>
        <v/>
      </c>
      <c r="E32" s="25" t="str" cm="1">
        <f t="array" ref="E32">IF($A32="","",INDEX(Trades!$F:$F,$A32+3))</f>
        <v/>
      </c>
      <c r="F32" s="26" t="str" cm="1">
        <f t="array" ref="F32">IF($A32="","",INDEX(Trades!$AB:$AB,$A32+3))</f>
        <v/>
      </c>
      <c r="G32" s="16" t="str" cm="1">
        <f t="array" ref="G32">IF($A32="","",INDEX(Trades!$AA:$AA,$A32+3))</f>
        <v/>
      </c>
      <c r="H32" s="16" t="str" cm="1">
        <f t="array" ref="H32">IF($A32="","",INDEX(Trades!$AC:$AC,$A32+3))</f>
        <v/>
      </c>
      <c r="I32" s="18" t="str" cm="1">
        <f t="array" ref="I32">IF($A32="","",INDEX(Trades!$Q:$Q,$A32+3))</f>
        <v/>
      </c>
      <c r="J32" s="16" t="str" cm="1">
        <f t="array" ref="J32">IF($A32="","",INDEX(Trades!$R:$R,$A32+3))</f>
        <v/>
      </c>
      <c r="K32" s="16" t="str" cm="1">
        <f t="array" ref="K32">IF($A32="","",INDEX(Trades!$N:$N,$A32+3))</f>
        <v/>
      </c>
    </row>
    <row r="33" spans="1:11" x14ac:dyDescent="0.3">
      <c r="A33" t="str" cm="1">
        <f t="array" ref="A33">IFERROR(_xlfn.AGGREGATE(15,6,(ROW(Trades!$AC$4:$AC$140)-3)/((Trades!$AA$4:$AA$140="No")+(Trades!$AC$4:$AC$140="No")&gt;0),ROW()-19),"")</f>
        <v/>
      </c>
      <c r="B33" s="16" t="str" cm="1">
        <f t="array" ref="B33">IF($A33="","",INDEX(Trades!$C:$C,$A33+3))</f>
        <v/>
      </c>
      <c r="C33" s="17" t="str" cm="1">
        <f t="array" ref="C33">IF($A33="","",INDEX(Trades!$D:$D,$A33+3))</f>
        <v/>
      </c>
      <c r="D33" s="16" t="str" cm="1">
        <f t="array" ref="D33">IF($A33="","",INDEX(Trades!$E:$E,$A33+3))</f>
        <v/>
      </c>
      <c r="E33" s="25" t="str" cm="1">
        <f t="array" ref="E33">IF($A33="","",INDEX(Trades!$F:$F,$A33+3))</f>
        <v/>
      </c>
      <c r="F33" s="26" t="str" cm="1">
        <f t="array" ref="F33">IF($A33="","",INDEX(Trades!$AB:$AB,$A33+3))</f>
        <v/>
      </c>
      <c r="G33" s="16" t="str" cm="1">
        <f t="array" ref="G33">IF($A33="","",INDEX(Trades!$AA:$AA,$A33+3))</f>
        <v/>
      </c>
      <c r="H33" s="16" t="str" cm="1">
        <f t="array" ref="H33">IF($A33="","",INDEX(Trades!$AC:$AC,$A33+3))</f>
        <v/>
      </c>
      <c r="I33" s="18" t="str" cm="1">
        <f t="array" ref="I33">IF($A33="","",INDEX(Trades!$Q:$Q,$A33+3))</f>
        <v/>
      </c>
      <c r="J33" s="16" t="str" cm="1">
        <f t="array" ref="J33">IF($A33="","",INDEX(Trades!$R:$R,$A33+3))</f>
        <v/>
      </c>
      <c r="K33" s="16" t="str" cm="1">
        <f t="array" ref="K33">IF($A33="","",INDEX(Trades!$N:$N,$A33+3))</f>
        <v/>
      </c>
    </row>
    <row r="34" spans="1:11" x14ac:dyDescent="0.3">
      <c r="A34" t="str" cm="1">
        <f t="array" ref="A34">IFERROR(_xlfn.AGGREGATE(15,6,(ROW(Trades!$AC$4:$AC$140)-3)/((Trades!$AA$4:$AA$140="No")+(Trades!$AC$4:$AC$140="No")&gt;0),ROW()-19),"")</f>
        <v/>
      </c>
      <c r="B34" s="16" t="str" cm="1">
        <f t="array" ref="B34">IF($A34="","",INDEX(Trades!$C:$C,$A34+3))</f>
        <v/>
      </c>
      <c r="C34" s="17" t="str" cm="1">
        <f t="array" ref="C34">IF($A34="","",INDEX(Trades!$D:$D,$A34+3))</f>
        <v/>
      </c>
      <c r="D34" s="16" t="str" cm="1">
        <f t="array" ref="D34">IF($A34="","",INDEX(Trades!$E:$E,$A34+3))</f>
        <v/>
      </c>
      <c r="E34" s="25" t="str" cm="1">
        <f t="array" ref="E34">IF($A34="","",INDEX(Trades!$F:$F,$A34+3))</f>
        <v/>
      </c>
      <c r="F34" s="26" t="str" cm="1">
        <f t="array" ref="F34">IF($A34="","",INDEX(Trades!$AB:$AB,$A34+3))</f>
        <v/>
      </c>
      <c r="G34" s="16" t="str" cm="1">
        <f t="array" ref="G34">IF($A34="","",INDEX(Trades!$AA:$AA,$A34+3))</f>
        <v/>
      </c>
      <c r="H34" s="16" t="str" cm="1">
        <f t="array" ref="H34">IF($A34="","",INDEX(Trades!$AC:$AC,$A34+3))</f>
        <v/>
      </c>
      <c r="I34" s="18" t="str" cm="1">
        <f t="array" ref="I34">IF($A34="","",INDEX(Trades!$Q:$Q,$A34+3))</f>
        <v/>
      </c>
      <c r="J34" s="16" t="str" cm="1">
        <f t="array" ref="J34">IF($A34="","",INDEX(Trades!$R:$R,$A34+3))</f>
        <v/>
      </c>
      <c r="K34" s="16" t="str" cm="1">
        <f t="array" ref="K34">IF($A34="","",INDEX(Trades!$N:$N,$A34+3))</f>
        <v/>
      </c>
    </row>
    <row r="35" spans="1:11" x14ac:dyDescent="0.3">
      <c r="A35" t="str" cm="1">
        <f t="array" ref="A35">IFERROR(_xlfn.AGGREGATE(15,6,(ROW(Trades!$AC$4:$AC$140)-3)/((Trades!$AA$4:$AA$140="No")+(Trades!$AC$4:$AC$140="No")&gt;0),ROW()-19),"")</f>
        <v/>
      </c>
      <c r="B35" s="16" t="str" cm="1">
        <f t="array" ref="B35">IF($A35="","",INDEX(Trades!$C:$C,$A35+3))</f>
        <v/>
      </c>
      <c r="C35" s="17" t="str" cm="1">
        <f t="array" ref="C35">IF($A35="","",INDEX(Trades!$D:$D,$A35+3))</f>
        <v/>
      </c>
      <c r="D35" s="16" t="str" cm="1">
        <f t="array" ref="D35">IF($A35="","",INDEX(Trades!$E:$E,$A35+3))</f>
        <v/>
      </c>
      <c r="E35" s="25" t="str" cm="1">
        <f t="array" ref="E35">IF($A35="","",INDEX(Trades!$F:$F,$A35+3))</f>
        <v/>
      </c>
      <c r="F35" s="26" t="str" cm="1">
        <f t="array" ref="F35">IF($A35="","",INDEX(Trades!$AB:$AB,$A35+3))</f>
        <v/>
      </c>
      <c r="G35" s="16" t="str" cm="1">
        <f t="array" ref="G35">IF($A35="","",INDEX(Trades!$AA:$AA,$A35+3))</f>
        <v/>
      </c>
      <c r="H35" s="16" t="str" cm="1">
        <f t="array" ref="H35">IF($A35="","",INDEX(Trades!$AC:$AC,$A35+3))</f>
        <v/>
      </c>
      <c r="I35" s="18" t="str" cm="1">
        <f t="array" ref="I35">IF($A35="","",INDEX(Trades!$Q:$Q,$A35+3))</f>
        <v/>
      </c>
      <c r="J35" s="16" t="str" cm="1">
        <f t="array" ref="J35">IF($A35="","",INDEX(Trades!$R:$R,$A35+3))</f>
        <v/>
      </c>
      <c r="K35" s="16" t="str" cm="1">
        <f t="array" ref="K35">IF($A35="","",INDEX(Trades!$N:$N,$A35+3))</f>
        <v/>
      </c>
    </row>
    <row r="36" spans="1:11" x14ac:dyDescent="0.3">
      <c r="A36" t="str" cm="1">
        <f t="array" ref="A36">IFERROR(_xlfn.AGGREGATE(15,6,(ROW(Trades!$AC$4:$AC$140)-3)/((Trades!$AA$4:$AA$140="No")+(Trades!$AC$4:$AC$140="No")&gt;0),ROW()-19),"")</f>
        <v/>
      </c>
      <c r="B36" s="16" t="str" cm="1">
        <f t="array" ref="B36">IF($A36="","",INDEX(Trades!$C:$C,$A36+3))</f>
        <v/>
      </c>
      <c r="C36" s="17" t="str" cm="1">
        <f t="array" ref="C36">IF($A36="","",INDEX(Trades!$D:$D,$A36+3))</f>
        <v/>
      </c>
      <c r="D36" s="16" t="str" cm="1">
        <f t="array" ref="D36">IF($A36="","",INDEX(Trades!$E:$E,$A36+3))</f>
        <v/>
      </c>
      <c r="E36" s="25" t="str" cm="1">
        <f t="array" ref="E36">IF($A36="","",INDEX(Trades!$F:$F,$A36+3))</f>
        <v/>
      </c>
      <c r="F36" s="26" t="str" cm="1">
        <f t="array" ref="F36">IF($A36="","",INDEX(Trades!$AB:$AB,$A36+3))</f>
        <v/>
      </c>
      <c r="G36" s="16" t="str" cm="1">
        <f t="array" ref="G36">IF($A36="","",INDEX(Trades!$AA:$AA,$A36+3))</f>
        <v/>
      </c>
      <c r="H36" s="16" t="str" cm="1">
        <f t="array" ref="H36">IF($A36="","",INDEX(Trades!$AC:$AC,$A36+3))</f>
        <v/>
      </c>
      <c r="I36" s="18" t="str" cm="1">
        <f t="array" ref="I36">IF($A36="","",INDEX(Trades!$Q:$Q,$A36+3))</f>
        <v/>
      </c>
      <c r="J36" s="16" t="str" cm="1">
        <f t="array" ref="J36">IF($A36="","",INDEX(Trades!$R:$R,$A36+3))</f>
        <v/>
      </c>
      <c r="K36" s="16" t="str" cm="1">
        <f t="array" ref="K36">IF($A36="","",INDEX(Trades!$N:$N,$A36+3))</f>
        <v/>
      </c>
    </row>
    <row r="37" spans="1:11" x14ac:dyDescent="0.3">
      <c r="A37" t="str" cm="1">
        <f t="array" ref="A37">IFERROR(_xlfn.AGGREGATE(15,6,(ROW(Trades!$AC$4:$AC$140)-3)/((Trades!$AA$4:$AA$140="No")+(Trades!$AC$4:$AC$140="No")&gt;0),ROW()-19),"")</f>
        <v/>
      </c>
      <c r="B37" s="16" t="str" cm="1">
        <f t="array" ref="B37">IF($A37="","",INDEX(Trades!$C:$C,$A37+3))</f>
        <v/>
      </c>
      <c r="C37" s="17" t="str" cm="1">
        <f t="array" ref="C37">IF($A37="","",INDEX(Trades!$D:$D,$A37+3))</f>
        <v/>
      </c>
      <c r="D37" s="16" t="str" cm="1">
        <f t="array" ref="D37">IF($A37="","",INDEX(Trades!$E:$E,$A37+3))</f>
        <v/>
      </c>
      <c r="E37" s="25" t="str" cm="1">
        <f t="array" ref="E37">IF($A37="","",INDEX(Trades!$F:$F,$A37+3))</f>
        <v/>
      </c>
      <c r="F37" s="26" t="str" cm="1">
        <f t="array" ref="F37">IF($A37="","",INDEX(Trades!$AB:$AB,$A37+3))</f>
        <v/>
      </c>
      <c r="G37" s="16" t="str" cm="1">
        <f t="array" ref="G37">IF($A37="","",INDEX(Trades!$AA:$AA,$A37+3))</f>
        <v/>
      </c>
      <c r="H37" s="16" t="str" cm="1">
        <f t="array" ref="H37">IF($A37="","",INDEX(Trades!$AC:$AC,$A37+3))</f>
        <v/>
      </c>
      <c r="I37" s="18" t="str" cm="1">
        <f t="array" ref="I37">IF($A37="","",INDEX(Trades!$Q:$Q,$A37+3))</f>
        <v/>
      </c>
      <c r="J37" s="16" t="str" cm="1">
        <f t="array" ref="J37">IF($A37="","",INDEX(Trades!$R:$R,$A37+3))</f>
        <v/>
      </c>
      <c r="K37" s="16" t="str" cm="1">
        <f t="array" ref="K37">IF($A37="","",INDEX(Trades!$N:$N,$A37+3))</f>
        <v/>
      </c>
    </row>
    <row r="38" spans="1:11" x14ac:dyDescent="0.3">
      <c r="A38" t="str" cm="1">
        <f t="array" ref="A38">IFERROR(_xlfn.AGGREGATE(15,6,(ROW(Trades!$AC$4:$AC$140)-3)/((Trades!$AA$4:$AA$140="No")+(Trades!$AC$4:$AC$140="No")&gt;0),ROW()-19),"")</f>
        <v/>
      </c>
      <c r="B38" s="16" t="str" cm="1">
        <f t="array" ref="B38">IF($A38="","",INDEX(Trades!$C:$C,$A38+3))</f>
        <v/>
      </c>
      <c r="C38" s="17" t="str" cm="1">
        <f t="array" ref="C38">IF($A38="","",INDEX(Trades!$D:$D,$A38+3))</f>
        <v/>
      </c>
      <c r="D38" s="16" t="str" cm="1">
        <f t="array" ref="D38">IF($A38="","",INDEX(Trades!$E:$E,$A38+3))</f>
        <v/>
      </c>
      <c r="E38" s="25" t="str" cm="1">
        <f t="array" ref="E38">IF($A38="","",INDEX(Trades!$F:$F,$A38+3))</f>
        <v/>
      </c>
      <c r="F38" s="26" t="str" cm="1">
        <f t="array" ref="F38">IF($A38="","",INDEX(Trades!$AB:$AB,$A38+3))</f>
        <v/>
      </c>
      <c r="G38" s="16" t="str" cm="1">
        <f t="array" ref="G38">IF($A38="","",INDEX(Trades!$AA:$AA,$A38+3))</f>
        <v/>
      </c>
      <c r="H38" s="16" t="str" cm="1">
        <f t="array" ref="H38">IF($A38="","",INDEX(Trades!$AC:$AC,$A38+3))</f>
        <v/>
      </c>
      <c r="I38" s="18" t="str" cm="1">
        <f t="array" ref="I38">IF($A38="","",INDEX(Trades!$Q:$Q,$A38+3))</f>
        <v/>
      </c>
      <c r="J38" s="16" t="str" cm="1">
        <f t="array" ref="J38">IF($A38="","",INDEX(Trades!$R:$R,$A38+3))</f>
        <v/>
      </c>
      <c r="K38" s="16" t="str" cm="1">
        <f t="array" ref="K38">IF($A38="","",INDEX(Trades!$N:$N,$A38+3))</f>
        <v/>
      </c>
    </row>
    <row r="39" spans="1:11" x14ac:dyDescent="0.3">
      <c r="A39" t="str" cm="1">
        <f t="array" ref="A39">IFERROR(_xlfn.AGGREGATE(15,6,(ROW(Trades!$AC$4:$AC$140)-3)/((Trades!$AA$4:$AA$140="No")+(Trades!$AC$4:$AC$140="No")&gt;0),ROW()-19),"")</f>
        <v/>
      </c>
      <c r="B39" s="16" t="str" cm="1">
        <f t="array" ref="B39">IF($A39="","",INDEX(Trades!$C:$C,$A39+3))</f>
        <v/>
      </c>
      <c r="C39" s="17" t="str" cm="1">
        <f t="array" ref="C39">IF($A39="","",INDEX(Trades!$D:$D,$A39+3))</f>
        <v/>
      </c>
      <c r="D39" s="16" t="str" cm="1">
        <f t="array" ref="D39">IF($A39="","",INDEX(Trades!$E:$E,$A39+3))</f>
        <v/>
      </c>
      <c r="E39" s="25" t="str" cm="1">
        <f t="array" ref="E39">IF($A39="","",INDEX(Trades!$F:$F,$A39+3))</f>
        <v/>
      </c>
      <c r="F39" s="26" t="str" cm="1">
        <f t="array" ref="F39">IF($A39="","",INDEX(Trades!$AB:$AB,$A39+3))</f>
        <v/>
      </c>
      <c r="G39" s="16" t="str" cm="1">
        <f t="array" ref="G39">IF($A39="","",INDEX(Trades!$AA:$AA,$A39+3))</f>
        <v/>
      </c>
      <c r="H39" s="16" t="str" cm="1">
        <f t="array" ref="H39">IF($A39="","",INDEX(Trades!$AC:$AC,$A39+3))</f>
        <v/>
      </c>
      <c r="I39" s="18" t="str" cm="1">
        <f t="array" ref="I39">IF($A39="","",INDEX(Trades!$Q:$Q,$A39+3))</f>
        <v/>
      </c>
      <c r="J39" s="16" t="str" cm="1">
        <f t="array" ref="J39">IF($A39="","",INDEX(Trades!$R:$R,$A39+3))</f>
        <v/>
      </c>
      <c r="K39" s="16" t="str" cm="1">
        <f t="array" ref="K39">IF($A39="","",INDEX(Trades!$N:$N,$A39+3))</f>
        <v/>
      </c>
    </row>
    <row r="40" spans="1:11" x14ac:dyDescent="0.3">
      <c r="A40" t="str" cm="1">
        <f t="array" ref="A40">IFERROR(_xlfn.AGGREGATE(15,6,(ROW(Trades!$AC$4:$AC$140)-3)/((Trades!$AA$4:$AA$140="No")+(Trades!$AC$4:$AC$140="No")&gt;0),ROW()-19),"")</f>
        <v/>
      </c>
      <c r="B40" s="16" t="str" cm="1">
        <f t="array" ref="B40">IF($A40="","",INDEX(Trades!$C:$C,$A40+3))</f>
        <v/>
      </c>
      <c r="C40" s="17" t="str" cm="1">
        <f t="array" ref="C40">IF($A40="","",INDEX(Trades!$D:$D,$A40+3))</f>
        <v/>
      </c>
      <c r="D40" s="16" t="str" cm="1">
        <f t="array" ref="D40">IF($A40="","",INDEX(Trades!$E:$E,$A40+3))</f>
        <v/>
      </c>
      <c r="E40" s="25" t="str" cm="1">
        <f t="array" ref="E40">IF($A40="","",INDEX(Trades!$F:$F,$A40+3))</f>
        <v/>
      </c>
      <c r="F40" s="26" t="str" cm="1">
        <f t="array" ref="F40">IF($A40="","",INDEX(Trades!$AB:$AB,$A40+3))</f>
        <v/>
      </c>
      <c r="G40" s="16" t="str" cm="1">
        <f t="array" ref="G40">IF($A40="","",INDEX(Trades!$AA:$AA,$A40+3))</f>
        <v/>
      </c>
      <c r="H40" s="16" t="str" cm="1">
        <f t="array" ref="H40">IF($A40="","",INDEX(Trades!$AC:$AC,$A40+3))</f>
        <v/>
      </c>
      <c r="I40" s="18" t="str" cm="1">
        <f t="array" ref="I40">IF($A40="","",INDEX(Trades!$Q:$Q,$A40+3))</f>
        <v/>
      </c>
      <c r="J40" s="16" t="str" cm="1">
        <f t="array" ref="J40">IF($A40="","",INDEX(Trades!$R:$R,$A40+3))</f>
        <v/>
      </c>
      <c r="K40" s="16" t="str" cm="1">
        <f t="array" ref="K40">IF($A40="","",INDEX(Trades!$N:$N,$A40+3))</f>
        <v/>
      </c>
    </row>
    <row r="41" spans="1:11" x14ac:dyDescent="0.3">
      <c r="A41" t="str" cm="1">
        <f t="array" ref="A41">IFERROR(_xlfn.AGGREGATE(15,6,(ROW(Trades!$AC$4:$AC$140)-3)/((Trades!$AA$4:$AA$140="No")+(Trades!$AC$4:$AC$140="No")&gt;0),ROW()-19),"")</f>
        <v/>
      </c>
      <c r="B41" s="16" t="str" cm="1">
        <f t="array" ref="B41">IF($A41="","",INDEX(Trades!$C:$C,$A41+3))</f>
        <v/>
      </c>
      <c r="C41" s="17" t="str" cm="1">
        <f t="array" ref="C41">IF($A41="","",INDEX(Trades!$D:$D,$A41+3))</f>
        <v/>
      </c>
      <c r="D41" s="16" t="str" cm="1">
        <f t="array" ref="D41">IF($A41="","",INDEX(Trades!$E:$E,$A41+3))</f>
        <v/>
      </c>
      <c r="E41" s="25" t="str" cm="1">
        <f t="array" ref="E41">IF($A41="","",INDEX(Trades!$F:$F,$A41+3))</f>
        <v/>
      </c>
      <c r="F41" s="26" t="str" cm="1">
        <f t="array" ref="F41">IF($A41="","",INDEX(Trades!$AB:$AB,$A41+3))</f>
        <v/>
      </c>
      <c r="G41" s="16" t="str" cm="1">
        <f t="array" ref="G41">IF($A41="","",INDEX(Trades!$AA:$AA,$A41+3))</f>
        <v/>
      </c>
      <c r="H41" s="16" t="str" cm="1">
        <f t="array" ref="H41">IF($A41="","",INDEX(Trades!$AC:$AC,$A41+3))</f>
        <v/>
      </c>
      <c r="I41" s="18" t="str" cm="1">
        <f t="array" ref="I41">IF($A41="","",INDEX(Trades!$Q:$Q,$A41+3))</f>
        <v/>
      </c>
      <c r="J41" s="16" t="str" cm="1">
        <f t="array" ref="J41">IF($A41="","",INDEX(Trades!$R:$R,$A41+3))</f>
        <v/>
      </c>
      <c r="K41" s="16" t="str" cm="1">
        <f t="array" ref="K41">IF($A41="","",INDEX(Trades!$N:$N,$A41+3))</f>
        <v/>
      </c>
    </row>
    <row r="42" spans="1:11" x14ac:dyDescent="0.3">
      <c r="A42" t="str" cm="1">
        <f t="array" ref="A42">IFERROR(_xlfn.AGGREGATE(15,6,(ROW(Trades!$AC$4:$AC$140)-3)/((Trades!$AA$4:$AA$140="No")+(Trades!$AC$4:$AC$140="No")&gt;0),ROW()-19),"")</f>
        <v/>
      </c>
      <c r="B42" s="16" t="str" cm="1">
        <f t="array" ref="B42">IF($A42="","",INDEX(Trades!$C:$C,$A42+3))</f>
        <v/>
      </c>
      <c r="C42" s="17" t="str" cm="1">
        <f t="array" ref="C42">IF($A42="","",INDEX(Trades!$D:$D,$A42+3))</f>
        <v/>
      </c>
      <c r="D42" s="16" t="str" cm="1">
        <f t="array" ref="D42">IF($A42="","",INDEX(Trades!$E:$E,$A42+3))</f>
        <v/>
      </c>
      <c r="E42" s="25" t="str" cm="1">
        <f t="array" ref="E42">IF($A42="","",INDEX(Trades!$F:$F,$A42+3))</f>
        <v/>
      </c>
      <c r="F42" s="26" t="str" cm="1">
        <f t="array" ref="F42">IF($A42="","",INDEX(Trades!$AB:$AB,$A42+3))</f>
        <v/>
      </c>
      <c r="G42" s="16" t="str" cm="1">
        <f t="array" ref="G42">IF($A42="","",INDEX(Trades!$AA:$AA,$A42+3))</f>
        <v/>
      </c>
      <c r="H42" s="16" t="str" cm="1">
        <f t="array" ref="H42">IF($A42="","",INDEX(Trades!$AC:$AC,$A42+3))</f>
        <v/>
      </c>
      <c r="I42" s="18" t="str" cm="1">
        <f t="array" ref="I42">IF($A42="","",INDEX(Trades!$Q:$Q,$A42+3))</f>
        <v/>
      </c>
      <c r="J42" s="16" t="str" cm="1">
        <f t="array" ref="J42">IF($A42="","",INDEX(Trades!$R:$R,$A42+3))</f>
        <v/>
      </c>
      <c r="K42" s="16" t="str" cm="1">
        <f t="array" ref="K42">IF($A42="","",INDEX(Trades!$N:$N,$A42+3))</f>
        <v/>
      </c>
    </row>
    <row r="43" spans="1:11" x14ac:dyDescent="0.3">
      <c r="A43" t="str" cm="1">
        <f t="array" ref="A43">IFERROR(_xlfn.AGGREGATE(15,6,(ROW(Trades!$AC$4:$AC$140)-3)/((Trades!$AA$4:$AA$140="No")+(Trades!$AC$4:$AC$140="No")&gt;0),ROW()-19),"")</f>
        <v/>
      </c>
      <c r="B43" s="16" t="str" cm="1">
        <f t="array" ref="B43">IF($A43="","",INDEX(Trades!$C:$C,$A43+3))</f>
        <v/>
      </c>
      <c r="C43" s="17" t="str" cm="1">
        <f t="array" ref="C43">IF($A43="","",INDEX(Trades!$D:$D,$A43+3))</f>
        <v/>
      </c>
      <c r="D43" s="16" t="str" cm="1">
        <f t="array" ref="D43">IF($A43="","",INDEX(Trades!$E:$E,$A43+3))</f>
        <v/>
      </c>
      <c r="E43" s="25" t="str" cm="1">
        <f t="array" ref="E43">IF($A43="","",INDEX(Trades!$F:$F,$A43+3))</f>
        <v/>
      </c>
      <c r="F43" s="26" t="str" cm="1">
        <f t="array" ref="F43">IF($A43="","",INDEX(Trades!$AB:$AB,$A43+3))</f>
        <v/>
      </c>
      <c r="G43" s="16" t="str" cm="1">
        <f t="array" ref="G43">IF($A43="","",INDEX(Trades!$AA:$AA,$A43+3))</f>
        <v/>
      </c>
      <c r="H43" s="16" t="str" cm="1">
        <f t="array" ref="H43">IF($A43="","",INDEX(Trades!$AC:$AC,$A43+3))</f>
        <v/>
      </c>
      <c r="I43" s="18" t="str" cm="1">
        <f t="array" ref="I43">IF($A43="","",INDEX(Trades!$Q:$Q,$A43+3))</f>
        <v/>
      </c>
      <c r="J43" s="16" t="str" cm="1">
        <f t="array" ref="J43">IF($A43="","",INDEX(Trades!$R:$R,$A43+3))</f>
        <v/>
      </c>
      <c r="K43" s="16" t="str" cm="1">
        <f t="array" ref="K43">IF($A43="","",INDEX(Trades!$N:$N,$A43+3))</f>
        <v/>
      </c>
    </row>
    <row r="44" spans="1:11" x14ac:dyDescent="0.3">
      <c r="A44" t="str" cm="1">
        <f t="array" ref="A44">IFERROR(_xlfn.AGGREGATE(15,6,(ROW(Trades!$AC$4:$AC$140)-3)/((Trades!$AA$4:$AA$140="No")+(Trades!$AC$4:$AC$140="No")&gt;0),ROW()-19),"")</f>
        <v/>
      </c>
      <c r="B44" s="16" t="str" cm="1">
        <f t="array" ref="B44">IF($A44="","",INDEX(Trades!$C:$C,$A44+3))</f>
        <v/>
      </c>
      <c r="C44" s="17" t="str" cm="1">
        <f t="array" ref="C44">IF($A44="","",INDEX(Trades!$D:$D,$A44+3))</f>
        <v/>
      </c>
      <c r="D44" s="16" t="str" cm="1">
        <f t="array" ref="D44">IF($A44="","",INDEX(Trades!$E:$E,$A44+3))</f>
        <v/>
      </c>
      <c r="E44" s="25" t="str" cm="1">
        <f t="array" ref="E44">IF($A44="","",INDEX(Trades!$F:$F,$A44+3))</f>
        <v/>
      </c>
      <c r="F44" s="26" t="str" cm="1">
        <f t="array" ref="F44">IF($A44="","",INDEX(Trades!$AB:$AB,$A44+3))</f>
        <v/>
      </c>
      <c r="G44" s="16" t="str" cm="1">
        <f t="array" ref="G44">IF($A44="","",INDEX(Trades!$AA:$AA,$A44+3))</f>
        <v/>
      </c>
      <c r="H44" s="16" t="str" cm="1">
        <f t="array" ref="H44">IF($A44="","",INDEX(Trades!$AC:$AC,$A44+3))</f>
        <v/>
      </c>
      <c r="I44" s="18" t="str" cm="1">
        <f t="array" ref="I44">IF($A44="","",INDEX(Trades!$Q:$Q,$A44+3))</f>
        <v/>
      </c>
      <c r="J44" s="16" t="str" cm="1">
        <f t="array" ref="J44">IF($A44="","",INDEX(Trades!$R:$R,$A44+3))</f>
        <v/>
      </c>
      <c r="K44" s="16" t="str" cm="1">
        <f t="array" ref="K44">IF($A44="","",INDEX(Trades!$N:$N,$A44+3))</f>
        <v/>
      </c>
    </row>
    <row r="45" spans="1:11" x14ac:dyDescent="0.3">
      <c r="A45" t="str" cm="1">
        <f t="array" ref="A45">IFERROR(_xlfn.AGGREGATE(15,6,(ROW(Trades!$AC$4:$AC$140)-3)/((Trades!$AA$4:$AA$140="No")+(Trades!$AC$4:$AC$140="No")&gt;0),ROW()-19),"")</f>
        <v/>
      </c>
      <c r="B45" s="16" t="str" cm="1">
        <f t="array" ref="B45">IF($A45="","",INDEX(Trades!$C:$C,$A45+3))</f>
        <v/>
      </c>
      <c r="C45" s="17" t="str" cm="1">
        <f t="array" ref="C45">IF($A45="","",INDEX(Trades!$D:$D,$A45+3))</f>
        <v/>
      </c>
      <c r="D45" s="16" t="str" cm="1">
        <f t="array" ref="D45">IF($A45="","",INDEX(Trades!$E:$E,$A45+3))</f>
        <v/>
      </c>
      <c r="E45" s="25" t="str" cm="1">
        <f t="array" ref="E45">IF($A45="","",INDEX(Trades!$F:$F,$A45+3))</f>
        <v/>
      </c>
      <c r="F45" s="26" t="str" cm="1">
        <f t="array" ref="F45">IF($A45="","",INDEX(Trades!$AB:$AB,$A45+3))</f>
        <v/>
      </c>
      <c r="G45" s="16" t="str" cm="1">
        <f t="array" ref="G45">IF($A45="","",INDEX(Trades!$AA:$AA,$A45+3))</f>
        <v/>
      </c>
      <c r="H45" s="16" t="str" cm="1">
        <f t="array" ref="H45">IF($A45="","",INDEX(Trades!$AC:$AC,$A45+3))</f>
        <v/>
      </c>
      <c r="I45" s="18" t="str" cm="1">
        <f t="array" ref="I45">IF($A45="","",INDEX(Trades!$Q:$Q,$A45+3))</f>
        <v/>
      </c>
      <c r="J45" s="16" t="str" cm="1">
        <f t="array" ref="J45">IF($A45="","",INDEX(Trades!$R:$R,$A45+3))</f>
        <v/>
      </c>
      <c r="K45" s="16" t="str" cm="1">
        <f t="array" ref="K45">IF($A45="","",INDEX(Trades!$N:$N,$A45+3))</f>
        <v/>
      </c>
    </row>
    <row r="46" spans="1:11" x14ac:dyDescent="0.3">
      <c r="A46" t="str" cm="1">
        <f t="array" ref="A46">IFERROR(_xlfn.AGGREGATE(15,6,(ROW(Trades!$AC$4:$AC$140)-3)/((Trades!$AA$4:$AA$140="No")+(Trades!$AC$4:$AC$140="No")&gt;0),ROW()-19),"")</f>
        <v/>
      </c>
      <c r="B46" s="16" t="str" cm="1">
        <f t="array" ref="B46">IF($A46="","",INDEX(Trades!$C:$C,$A46+3))</f>
        <v/>
      </c>
      <c r="C46" s="17" t="str" cm="1">
        <f t="array" ref="C46">IF($A46="","",INDEX(Trades!$D:$D,$A46+3))</f>
        <v/>
      </c>
      <c r="D46" s="16" t="str" cm="1">
        <f t="array" ref="D46">IF($A46="","",INDEX(Trades!$E:$E,$A46+3))</f>
        <v/>
      </c>
      <c r="E46" s="25" t="str" cm="1">
        <f t="array" ref="E46">IF($A46="","",INDEX(Trades!$F:$F,$A46+3))</f>
        <v/>
      </c>
      <c r="F46" s="26" t="str" cm="1">
        <f t="array" ref="F46">IF($A46="","",INDEX(Trades!$AB:$AB,$A46+3))</f>
        <v/>
      </c>
      <c r="G46" s="16" t="str" cm="1">
        <f t="array" ref="G46">IF($A46="","",INDEX(Trades!$AA:$AA,$A46+3))</f>
        <v/>
      </c>
      <c r="H46" s="16" t="str" cm="1">
        <f t="array" ref="H46">IF($A46="","",INDEX(Trades!$AC:$AC,$A46+3))</f>
        <v/>
      </c>
      <c r="I46" s="18" t="str" cm="1">
        <f t="array" ref="I46">IF($A46="","",INDEX(Trades!$Q:$Q,$A46+3))</f>
        <v/>
      </c>
      <c r="J46" s="16" t="str" cm="1">
        <f t="array" ref="J46">IF($A46="","",INDEX(Trades!$R:$R,$A46+3))</f>
        <v/>
      </c>
      <c r="K46" s="16" t="str" cm="1">
        <f t="array" ref="K46">IF($A46="","",INDEX(Trades!$N:$N,$A46+3))</f>
        <v/>
      </c>
    </row>
    <row r="47" spans="1:11" x14ac:dyDescent="0.3">
      <c r="A47" t="str" cm="1">
        <f t="array" ref="A47">IFERROR(_xlfn.AGGREGATE(15,6,(ROW(Trades!$AC$4:$AC$140)-3)/((Trades!$AA$4:$AA$140="No")+(Trades!$AC$4:$AC$140="No")&gt;0),ROW()-19),"")</f>
        <v/>
      </c>
      <c r="B47" s="16" t="str" cm="1">
        <f t="array" ref="B47">IF($A47="","",INDEX(Trades!$C:$C,$A47+3))</f>
        <v/>
      </c>
      <c r="C47" s="17" t="str" cm="1">
        <f t="array" ref="C47">IF($A47="","",INDEX(Trades!$D:$D,$A47+3))</f>
        <v/>
      </c>
      <c r="D47" s="16" t="str" cm="1">
        <f t="array" ref="D47">IF($A47="","",INDEX(Trades!$E:$E,$A47+3))</f>
        <v/>
      </c>
      <c r="E47" s="25" t="str" cm="1">
        <f t="array" ref="E47">IF($A47="","",INDEX(Trades!$F:$F,$A47+3))</f>
        <v/>
      </c>
      <c r="F47" s="26" t="str" cm="1">
        <f t="array" ref="F47">IF($A47="","",INDEX(Trades!$AB:$AB,$A47+3))</f>
        <v/>
      </c>
      <c r="G47" s="16" t="str" cm="1">
        <f t="array" ref="G47">IF($A47="","",INDEX(Trades!$AA:$AA,$A47+3))</f>
        <v/>
      </c>
      <c r="H47" s="16" t="str" cm="1">
        <f t="array" ref="H47">IF($A47="","",INDEX(Trades!$AC:$AC,$A47+3))</f>
        <v/>
      </c>
      <c r="I47" s="18" t="str" cm="1">
        <f t="array" ref="I47">IF($A47="","",INDEX(Trades!$Q:$Q,$A47+3))</f>
        <v/>
      </c>
      <c r="J47" s="16" t="str" cm="1">
        <f t="array" ref="J47">IF($A47="","",INDEX(Trades!$R:$R,$A47+3))</f>
        <v/>
      </c>
      <c r="K47" s="16" t="str" cm="1">
        <f t="array" ref="K47">IF($A47="","",INDEX(Trades!$N:$N,$A47+3))</f>
        <v/>
      </c>
    </row>
    <row r="48" spans="1:11" x14ac:dyDescent="0.3">
      <c r="A48" t="str" cm="1">
        <f t="array" ref="A48">IFERROR(_xlfn.AGGREGATE(15,6,(ROW(Trades!$AC$4:$AC$140)-3)/((Trades!$AA$4:$AA$140="No")+(Trades!$AC$4:$AC$140="No")&gt;0),ROW()-19),"")</f>
        <v/>
      </c>
      <c r="B48" s="16" t="str" cm="1">
        <f t="array" ref="B48">IF($A48="","",INDEX(Trades!$C:$C,$A48+3))</f>
        <v/>
      </c>
      <c r="C48" s="17" t="str" cm="1">
        <f t="array" ref="C48">IF($A48="","",INDEX(Trades!$D:$D,$A48+3))</f>
        <v/>
      </c>
      <c r="D48" s="16" t="str" cm="1">
        <f t="array" ref="D48">IF($A48="","",INDEX(Trades!$E:$E,$A48+3))</f>
        <v/>
      </c>
      <c r="E48" s="25" t="str" cm="1">
        <f t="array" ref="E48">IF($A48="","",INDEX(Trades!$F:$F,$A48+3))</f>
        <v/>
      </c>
      <c r="F48" s="26" t="str" cm="1">
        <f t="array" ref="F48">IF($A48="","",INDEX(Trades!$AB:$AB,$A48+3))</f>
        <v/>
      </c>
      <c r="G48" s="16" t="str" cm="1">
        <f t="array" ref="G48">IF($A48="","",INDEX(Trades!$AA:$AA,$A48+3))</f>
        <v/>
      </c>
      <c r="H48" s="16" t="str" cm="1">
        <f t="array" ref="H48">IF($A48="","",INDEX(Trades!$AC:$AC,$A48+3))</f>
        <v/>
      </c>
      <c r="I48" s="18" t="str" cm="1">
        <f t="array" ref="I48">IF($A48="","",INDEX(Trades!$Q:$Q,$A48+3))</f>
        <v/>
      </c>
      <c r="J48" s="16" t="str" cm="1">
        <f t="array" ref="J48">IF($A48="","",INDEX(Trades!$R:$R,$A48+3))</f>
        <v/>
      </c>
      <c r="K48" s="16" t="str" cm="1">
        <f t="array" ref="K48">IF($A48="","",INDEX(Trades!$N:$N,$A48+3))</f>
        <v/>
      </c>
    </row>
    <row r="49" spans="1:11" x14ac:dyDescent="0.3">
      <c r="A49" t="str" cm="1">
        <f t="array" ref="A49">IFERROR(_xlfn.AGGREGATE(15,6,(ROW(Trades!$AC$4:$AC$140)-3)/((Trades!$AA$4:$AA$140="No")+(Trades!$AC$4:$AC$140="No")&gt;0),ROW()-19),"")</f>
        <v/>
      </c>
      <c r="B49" s="16" t="str" cm="1">
        <f t="array" ref="B49">IF($A49="","",INDEX(Trades!$C:$C,$A49+3))</f>
        <v/>
      </c>
      <c r="C49" s="17" t="str" cm="1">
        <f t="array" ref="C49">IF($A49="","",INDEX(Trades!$D:$D,$A49+3))</f>
        <v/>
      </c>
      <c r="D49" s="16" t="str" cm="1">
        <f t="array" ref="D49">IF($A49="","",INDEX(Trades!$E:$E,$A49+3))</f>
        <v/>
      </c>
      <c r="E49" s="25" t="str" cm="1">
        <f t="array" ref="E49">IF($A49="","",INDEX(Trades!$F:$F,$A49+3))</f>
        <v/>
      </c>
      <c r="F49" s="26" t="str" cm="1">
        <f t="array" ref="F49">IF($A49="","",INDEX(Trades!$AB:$AB,$A49+3))</f>
        <v/>
      </c>
      <c r="G49" s="16" t="str" cm="1">
        <f t="array" ref="G49">IF($A49="","",INDEX(Trades!$AA:$AA,$A49+3))</f>
        <v/>
      </c>
      <c r="H49" s="16" t="str" cm="1">
        <f t="array" ref="H49">IF($A49="","",INDEX(Trades!$AC:$AC,$A49+3))</f>
        <v/>
      </c>
      <c r="I49" s="18" t="str" cm="1">
        <f t="array" ref="I49">IF($A49="","",INDEX(Trades!$Q:$Q,$A49+3))</f>
        <v/>
      </c>
      <c r="J49" s="16" t="str" cm="1">
        <f t="array" ref="J49">IF($A49="","",INDEX(Trades!$R:$R,$A49+3))</f>
        <v/>
      </c>
      <c r="K49" s="16" t="str" cm="1">
        <f t="array" ref="K49">IF($A49="","",INDEX(Trades!$N:$N,$A49+3))</f>
        <v/>
      </c>
    </row>
    <row r="50" spans="1:11" x14ac:dyDescent="0.3">
      <c r="A50" t="str" cm="1">
        <f t="array" ref="A50">IFERROR(_xlfn.AGGREGATE(15,6,(ROW(Trades!$AC$4:$AC$140)-3)/((Trades!$AA$4:$AA$140="No")+(Trades!$AC$4:$AC$140="No")&gt;0),ROW()-19),"")</f>
        <v/>
      </c>
      <c r="B50" s="16" t="str" cm="1">
        <f t="array" ref="B50">IF($A50="","",INDEX(Trades!$C:$C,$A50+3))</f>
        <v/>
      </c>
      <c r="C50" s="17" t="str" cm="1">
        <f t="array" ref="C50">IF($A50="","",INDEX(Trades!$D:$D,$A50+3))</f>
        <v/>
      </c>
      <c r="D50" s="16" t="str" cm="1">
        <f t="array" ref="D50">IF($A50="","",INDEX(Trades!$E:$E,$A50+3))</f>
        <v/>
      </c>
      <c r="E50" s="25" t="str" cm="1">
        <f t="array" ref="E50">IF($A50="","",INDEX(Trades!$F:$F,$A50+3))</f>
        <v/>
      </c>
      <c r="F50" s="26" t="str" cm="1">
        <f t="array" ref="F50">IF($A50="","",INDEX(Trades!$AB:$AB,$A50+3))</f>
        <v/>
      </c>
      <c r="G50" s="16" t="str" cm="1">
        <f t="array" ref="G50">IF($A50="","",INDEX(Trades!$AA:$AA,$A50+3))</f>
        <v/>
      </c>
      <c r="H50" s="16" t="str" cm="1">
        <f t="array" ref="H50">IF($A50="","",INDEX(Trades!$AC:$AC,$A50+3))</f>
        <v/>
      </c>
      <c r="I50" s="18" t="str" cm="1">
        <f t="array" ref="I50">IF($A50="","",INDEX(Trades!$Q:$Q,$A50+3))</f>
        <v/>
      </c>
      <c r="J50" s="16" t="str" cm="1">
        <f t="array" ref="J50">IF($A50="","",INDEX(Trades!$R:$R,$A50+3))</f>
        <v/>
      </c>
      <c r="K50" s="16" t="str" cm="1">
        <f t="array" ref="K50">IF($A50="","",INDEX(Trades!$N:$N,$A50+3))</f>
        <v/>
      </c>
    </row>
    <row r="51" spans="1:11" x14ac:dyDescent="0.3">
      <c r="A51" t="str" cm="1">
        <f t="array" ref="A51">IFERROR(_xlfn.AGGREGATE(15,6,(ROW(Trades!$AC$4:$AC$140)-3)/((Trades!$AA$4:$AA$140="No")+(Trades!$AC$4:$AC$140="No")&gt;0),ROW()-19),"")</f>
        <v/>
      </c>
      <c r="B51" s="16" t="str" cm="1">
        <f t="array" ref="B51">IF($A51="","",INDEX(Trades!$C:$C,$A51+3))</f>
        <v/>
      </c>
      <c r="C51" s="17" t="str" cm="1">
        <f t="array" ref="C51">IF($A51="","",INDEX(Trades!$D:$D,$A51+3))</f>
        <v/>
      </c>
      <c r="D51" s="16" t="str" cm="1">
        <f t="array" ref="D51">IF($A51="","",INDEX(Trades!$E:$E,$A51+3))</f>
        <v/>
      </c>
      <c r="E51" s="25" t="str" cm="1">
        <f t="array" ref="E51">IF($A51="","",INDEX(Trades!$F:$F,$A51+3))</f>
        <v/>
      </c>
      <c r="F51" s="26" t="str" cm="1">
        <f t="array" ref="F51">IF($A51="","",INDEX(Trades!$AB:$AB,$A51+3))</f>
        <v/>
      </c>
      <c r="G51" s="16" t="str" cm="1">
        <f t="array" ref="G51">IF($A51="","",INDEX(Trades!$AA:$AA,$A51+3))</f>
        <v/>
      </c>
      <c r="H51" s="16" t="str" cm="1">
        <f t="array" ref="H51">IF($A51="","",INDEX(Trades!$AC:$AC,$A51+3))</f>
        <v/>
      </c>
      <c r="I51" s="18" t="str" cm="1">
        <f t="array" ref="I51">IF($A51="","",INDEX(Trades!$Q:$Q,$A51+3))</f>
        <v/>
      </c>
      <c r="J51" s="16" t="str" cm="1">
        <f t="array" ref="J51">IF($A51="","",INDEX(Trades!$R:$R,$A51+3))</f>
        <v/>
      </c>
      <c r="K51" s="16" t="str" cm="1">
        <f t="array" ref="K51">IF($A51="","",INDEX(Trades!$N:$N,$A51+3))</f>
        <v/>
      </c>
    </row>
    <row r="52" spans="1:11" x14ac:dyDescent="0.3">
      <c r="A52" t="str" cm="1">
        <f t="array" ref="A52">IFERROR(_xlfn.AGGREGATE(15,6,(ROW(Trades!$AC$4:$AC$140)-3)/((Trades!$AA$4:$AA$140="No")+(Trades!$AC$4:$AC$140="No")&gt;0),ROW()-19),"")</f>
        <v/>
      </c>
      <c r="B52" s="16" t="str" cm="1">
        <f t="array" ref="B52">IF($A52="","",INDEX(Trades!$C:$C,$A52+3))</f>
        <v/>
      </c>
      <c r="C52" s="17" t="str" cm="1">
        <f t="array" ref="C52">IF($A52="","",INDEX(Trades!$D:$D,$A52+3))</f>
        <v/>
      </c>
      <c r="D52" s="16" t="str" cm="1">
        <f t="array" ref="D52">IF($A52="","",INDEX(Trades!$E:$E,$A52+3))</f>
        <v/>
      </c>
      <c r="E52" s="25" t="str" cm="1">
        <f t="array" ref="E52">IF($A52="","",INDEX(Trades!$F:$F,$A52+3))</f>
        <v/>
      </c>
      <c r="F52" s="26" t="str" cm="1">
        <f t="array" ref="F52">IF($A52="","",INDEX(Trades!$AB:$AB,$A52+3))</f>
        <v/>
      </c>
      <c r="G52" s="16" t="str" cm="1">
        <f t="array" ref="G52">IF($A52="","",INDEX(Trades!$AA:$AA,$A52+3))</f>
        <v/>
      </c>
      <c r="H52" s="16" t="str" cm="1">
        <f t="array" ref="H52">IF($A52="","",INDEX(Trades!$AC:$AC,$A52+3))</f>
        <v/>
      </c>
      <c r="I52" s="18" t="str" cm="1">
        <f t="array" ref="I52">IF($A52="","",INDEX(Trades!$Q:$Q,$A52+3))</f>
        <v/>
      </c>
      <c r="J52" s="16" t="str" cm="1">
        <f t="array" ref="J52">IF($A52="","",INDEX(Trades!$R:$R,$A52+3))</f>
        <v/>
      </c>
      <c r="K52" s="16" t="str" cm="1">
        <f t="array" ref="K52">IF($A52="","",INDEX(Trades!$N:$N,$A52+3))</f>
        <v/>
      </c>
    </row>
    <row r="53" spans="1:11" x14ac:dyDescent="0.3">
      <c r="A53" t="str" cm="1">
        <f t="array" ref="A53">IFERROR(_xlfn.AGGREGATE(15,6,(ROW(Trades!$AC$4:$AC$140)-3)/((Trades!$AA$4:$AA$140="No")+(Trades!$AC$4:$AC$140="No")&gt;0),ROW()-19),"")</f>
        <v/>
      </c>
      <c r="B53" s="16" t="str" cm="1">
        <f t="array" ref="B53">IF($A53="","",INDEX(Trades!$C:$C,$A53+3))</f>
        <v/>
      </c>
      <c r="C53" s="17" t="str" cm="1">
        <f t="array" ref="C53">IF($A53="","",INDEX(Trades!$D:$D,$A53+3))</f>
        <v/>
      </c>
      <c r="D53" s="16" t="str" cm="1">
        <f t="array" ref="D53">IF($A53="","",INDEX(Trades!$E:$E,$A53+3))</f>
        <v/>
      </c>
      <c r="E53" s="25" t="str" cm="1">
        <f t="array" ref="E53">IF($A53="","",INDEX(Trades!$F:$F,$A53+3))</f>
        <v/>
      </c>
      <c r="F53" s="26" t="str" cm="1">
        <f t="array" ref="F53">IF($A53="","",INDEX(Trades!$AB:$AB,$A53+3))</f>
        <v/>
      </c>
      <c r="G53" s="16" t="str" cm="1">
        <f t="array" ref="G53">IF($A53="","",INDEX(Trades!$AA:$AA,$A53+3))</f>
        <v/>
      </c>
      <c r="H53" s="16" t="str" cm="1">
        <f t="array" ref="H53">IF($A53="","",INDEX(Trades!$AC:$AC,$A53+3))</f>
        <v/>
      </c>
      <c r="I53" s="18" t="str" cm="1">
        <f t="array" ref="I53">IF($A53="","",INDEX(Trades!$Q:$Q,$A53+3))</f>
        <v/>
      </c>
      <c r="J53" s="16" t="str" cm="1">
        <f t="array" ref="J53">IF($A53="","",INDEX(Trades!$R:$R,$A53+3))</f>
        <v/>
      </c>
      <c r="K53" s="16" t="str" cm="1">
        <f t="array" ref="K53">IF($A53="","",INDEX(Trades!$N:$N,$A53+3))</f>
        <v/>
      </c>
    </row>
    <row r="54" spans="1:11" x14ac:dyDescent="0.3">
      <c r="A54" t="str" cm="1">
        <f t="array" ref="A54">IFERROR(_xlfn.AGGREGATE(15,6,(ROW(Trades!$AC$4:$AC$140)-3)/((Trades!$AA$4:$AA$140="No")+(Trades!$AC$4:$AC$140="No")&gt;0),ROW()-19),"")</f>
        <v/>
      </c>
      <c r="B54" s="16" t="str" cm="1">
        <f t="array" ref="B54">IF($A54="","",INDEX(Trades!$C:$C,$A54+3))</f>
        <v/>
      </c>
      <c r="C54" s="17" t="str" cm="1">
        <f t="array" ref="C54">IF($A54="","",INDEX(Trades!$D:$D,$A54+3))</f>
        <v/>
      </c>
      <c r="D54" s="16" t="str" cm="1">
        <f t="array" ref="D54">IF($A54="","",INDEX(Trades!$E:$E,$A54+3))</f>
        <v/>
      </c>
      <c r="E54" s="25" t="str" cm="1">
        <f t="array" ref="E54">IF($A54="","",INDEX(Trades!$F:$F,$A54+3))</f>
        <v/>
      </c>
      <c r="F54" s="26" t="str" cm="1">
        <f t="array" ref="F54">IF($A54="","",INDEX(Trades!$AB:$AB,$A54+3))</f>
        <v/>
      </c>
      <c r="G54" s="16" t="str" cm="1">
        <f t="array" ref="G54">IF($A54="","",INDEX(Trades!$AA:$AA,$A54+3))</f>
        <v/>
      </c>
      <c r="H54" s="16" t="str" cm="1">
        <f t="array" ref="H54">IF($A54="","",INDEX(Trades!$AC:$AC,$A54+3))</f>
        <v/>
      </c>
      <c r="I54" s="18" t="str" cm="1">
        <f t="array" ref="I54">IF($A54="","",INDEX(Trades!$Q:$Q,$A54+3))</f>
        <v/>
      </c>
      <c r="J54" s="16" t="str" cm="1">
        <f t="array" ref="J54">IF($A54="","",INDEX(Trades!$R:$R,$A54+3))</f>
        <v/>
      </c>
      <c r="K54" s="16" t="str" cm="1">
        <f t="array" ref="K54">IF($A54="","",INDEX(Trades!$N:$N,$A54+3))</f>
        <v/>
      </c>
    </row>
    <row r="55" spans="1:11" x14ac:dyDescent="0.3">
      <c r="A55" t="str" cm="1">
        <f t="array" ref="A55">IFERROR(_xlfn.AGGREGATE(15,6,(ROW(Trades!$AC$4:$AC$140)-3)/((Trades!$AA$4:$AA$140="No")+(Trades!$AC$4:$AC$140="No")&gt;0),ROW()-19),"")</f>
        <v/>
      </c>
      <c r="B55" s="16" t="str" cm="1">
        <f t="array" ref="B55">IF($A55="","",INDEX(Trades!$C:$C,$A55+3))</f>
        <v/>
      </c>
      <c r="C55" s="17" t="str" cm="1">
        <f t="array" ref="C55">IF($A55="","",INDEX(Trades!$D:$D,$A55+3))</f>
        <v/>
      </c>
      <c r="D55" s="16" t="str" cm="1">
        <f t="array" ref="D55">IF($A55="","",INDEX(Trades!$E:$E,$A55+3))</f>
        <v/>
      </c>
      <c r="E55" s="25" t="str" cm="1">
        <f t="array" ref="E55">IF($A55="","",INDEX(Trades!$F:$F,$A55+3))</f>
        <v/>
      </c>
      <c r="F55" s="26" t="str" cm="1">
        <f t="array" ref="F55">IF($A55="","",INDEX(Trades!$AB:$AB,$A55+3))</f>
        <v/>
      </c>
      <c r="G55" s="16" t="str" cm="1">
        <f t="array" ref="G55">IF($A55="","",INDEX(Trades!$AA:$AA,$A55+3))</f>
        <v/>
      </c>
      <c r="H55" s="16" t="str" cm="1">
        <f t="array" ref="H55">IF($A55="","",INDEX(Trades!$AC:$AC,$A55+3))</f>
        <v/>
      </c>
      <c r="I55" s="18" t="str" cm="1">
        <f t="array" ref="I55">IF($A55="","",INDEX(Trades!$Q:$Q,$A55+3))</f>
        <v/>
      </c>
      <c r="J55" s="16" t="str" cm="1">
        <f t="array" ref="J55">IF($A55="","",INDEX(Trades!$R:$R,$A55+3))</f>
        <v/>
      </c>
      <c r="K55" s="16" t="str" cm="1">
        <f t="array" ref="K55">IF($A55="","",INDEX(Trades!$N:$N,$A55+3))</f>
        <v/>
      </c>
    </row>
    <row r="56" spans="1:11" x14ac:dyDescent="0.3">
      <c r="A56" t="str" cm="1">
        <f t="array" ref="A56">IFERROR(_xlfn.AGGREGATE(15,6,(ROW(Trades!$AC$4:$AC$140)-3)/((Trades!$AA$4:$AA$140="No")+(Trades!$AC$4:$AC$140="No")&gt;0),ROW()-19),"")</f>
        <v/>
      </c>
      <c r="B56" s="16" t="str" cm="1">
        <f t="array" ref="B56">IF($A56="","",INDEX(Trades!$C:$C,$A56+3))</f>
        <v/>
      </c>
      <c r="C56" s="17" t="str" cm="1">
        <f t="array" ref="C56">IF($A56="","",INDEX(Trades!$D:$D,$A56+3))</f>
        <v/>
      </c>
      <c r="D56" s="16" t="str" cm="1">
        <f t="array" ref="D56">IF($A56="","",INDEX(Trades!$E:$E,$A56+3))</f>
        <v/>
      </c>
      <c r="E56" s="25" t="str" cm="1">
        <f t="array" ref="E56">IF($A56="","",INDEX(Trades!$F:$F,$A56+3))</f>
        <v/>
      </c>
      <c r="F56" s="26" t="str" cm="1">
        <f t="array" ref="F56">IF($A56="","",INDEX(Trades!$AB:$AB,$A56+3))</f>
        <v/>
      </c>
      <c r="G56" s="16" t="str" cm="1">
        <f t="array" ref="G56">IF($A56="","",INDEX(Trades!$AA:$AA,$A56+3))</f>
        <v/>
      </c>
      <c r="H56" s="16" t="str" cm="1">
        <f t="array" ref="H56">IF($A56="","",INDEX(Trades!$AC:$AC,$A56+3))</f>
        <v/>
      </c>
      <c r="I56" s="18" t="str" cm="1">
        <f t="array" ref="I56">IF($A56="","",INDEX(Trades!$Q:$Q,$A56+3))</f>
        <v/>
      </c>
      <c r="J56" s="16" t="str" cm="1">
        <f t="array" ref="J56">IF($A56="","",INDEX(Trades!$R:$R,$A56+3))</f>
        <v/>
      </c>
      <c r="K56" s="16" t="str" cm="1">
        <f t="array" ref="K56">IF($A56="","",INDEX(Trades!$N:$N,$A56+3))</f>
        <v/>
      </c>
    </row>
    <row r="57" spans="1:11" x14ac:dyDescent="0.3">
      <c r="A57" t="str" cm="1">
        <f t="array" ref="A57">IFERROR(_xlfn.AGGREGATE(15,6,(ROW(Trades!$AC$4:$AC$140)-3)/((Trades!$AA$4:$AA$140="No")+(Trades!$AC$4:$AC$140="No")&gt;0),ROW()-19),"")</f>
        <v/>
      </c>
      <c r="B57" s="16" t="str" cm="1">
        <f t="array" ref="B57">IF($A57="","",INDEX(Trades!$C:$C,$A57+3))</f>
        <v/>
      </c>
      <c r="C57" s="17" t="str" cm="1">
        <f t="array" ref="C57">IF($A57="","",INDEX(Trades!$D:$D,$A57+3))</f>
        <v/>
      </c>
      <c r="D57" s="16" t="str" cm="1">
        <f t="array" ref="D57">IF($A57="","",INDEX(Trades!$E:$E,$A57+3))</f>
        <v/>
      </c>
      <c r="E57" s="25" t="str" cm="1">
        <f t="array" ref="E57">IF($A57="","",INDEX(Trades!$F:$F,$A57+3))</f>
        <v/>
      </c>
      <c r="F57" s="26" t="str" cm="1">
        <f t="array" ref="F57">IF($A57="","",INDEX(Trades!$AB:$AB,$A57+3))</f>
        <v/>
      </c>
      <c r="G57" s="16" t="str" cm="1">
        <f t="array" ref="G57">IF($A57="","",INDEX(Trades!$AA:$AA,$A57+3))</f>
        <v/>
      </c>
      <c r="H57" s="16" t="str" cm="1">
        <f t="array" ref="H57">IF($A57="","",INDEX(Trades!$AC:$AC,$A57+3))</f>
        <v/>
      </c>
      <c r="I57" s="18" t="str" cm="1">
        <f t="array" ref="I57">IF($A57="","",INDEX(Trades!$Q:$Q,$A57+3))</f>
        <v/>
      </c>
      <c r="J57" s="16" t="str" cm="1">
        <f t="array" ref="J57">IF($A57="","",INDEX(Trades!$R:$R,$A57+3))</f>
        <v/>
      </c>
      <c r="K57" s="16" t="str" cm="1">
        <f t="array" ref="K57">IF($A57="","",INDEX(Trades!$N:$N,$A57+3))</f>
        <v/>
      </c>
    </row>
    <row r="58" spans="1:11" x14ac:dyDescent="0.3">
      <c r="A58" t="str" cm="1">
        <f t="array" ref="A58">IFERROR(_xlfn.AGGREGATE(15,6,(ROW(Trades!$AC$4:$AC$140)-3)/((Trades!$AA$4:$AA$140="No")+(Trades!$AC$4:$AC$140="No")&gt;0),ROW()-19),"")</f>
        <v/>
      </c>
      <c r="B58" s="16" t="str" cm="1">
        <f t="array" ref="B58">IF($A58="","",INDEX(Trades!$C:$C,$A58+3))</f>
        <v/>
      </c>
      <c r="C58" s="17" t="str" cm="1">
        <f t="array" ref="C58">IF($A58="","",INDEX(Trades!$D:$D,$A58+3))</f>
        <v/>
      </c>
      <c r="D58" s="16" t="str" cm="1">
        <f t="array" ref="D58">IF($A58="","",INDEX(Trades!$E:$E,$A58+3))</f>
        <v/>
      </c>
      <c r="E58" s="25" t="str" cm="1">
        <f t="array" ref="E58">IF($A58="","",INDEX(Trades!$F:$F,$A58+3))</f>
        <v/>
      </c>
      <c r="F58" s="26" t="str" cm="1">
        <f t="array" ref="F58">IF($A58="","",INDEX(Trades!$AB:$AB,$A58+3))</f>
        <v/>
      </c>
      <c r="G58" s="16" t="str" cm="1">
        <f t="array" ref="G58">IF($A58="","",INDEX(Trades!$AA:$AA,$A58+3))</f>
        <v/>
      </c>
      <c r="H58" s="16" t="str" cm="1">
        <f t="array" ref="H58">IF($A58="","",INDEX(Trades!$AC:$AC,$A58+3))</f>
        <v/>
      </c>
      <c r="I58" s="18" t="str" cm="1">
        <f t="array" ref="I58">IF($A58="","",INDEX(Trades!$Q:$Q,$A58+3))</f>
        <v/>
      </c>
      <c r="J58" s="16" t="str" cm="1">
        <f t="array" ref="J58">IF($A58="","",INDEX(Trades!$R:$R,$A58+3))</f>
        <v/>
      </c>
      <c r="K58" s="16" t="str" cm="1">
        <f t="array" ref="K58">IF($A58="","",INDEX(Trades!$N:$N,$A58+3))</f>
        <v/>
      </c>
    </row>
    <row r="59" spans="1:11" x14ac:dyDescent="0.3">
      <c r="A59" t="str" cm="1">
        <f t="array" ref="A59">IFERROR(_xlfn.AGGREGATE(15,6,(ROW(Trades!$AC$4:$AC$140)-3)/((Trades!$AA$4:$AA$140="No")+(Trades!$AC$4:$AC$140="No")&gt;0),ROW()-19),"")</f>
        <v/>
      </c>
      <c r="B59" s="16" t="str" cm="1">
        <f t="array" ref="B59">IF($A59="","",INDEX(Trades!$C:$C,$A59+3))</f>
        <v/>
      </c>
      <c r="C59" s="17" t="str" cm="1">
        <f t="array" ref="C59">IF($A59="","",INDEX(Trades!$D:$D,$A59+3))</f>
        <v/>
      </c>
      <c r="D59" s="16" t="str" cm="1">
        <f t="array" ref="D59">IF($A59="","",INDEX(Trades!$E:$E,$A59+3))</f>
        <v/>
      </c>
      <c r="E59" s="25" t="str" cm="1">
        <f t="array" ref="E59">IF($A59="","",INDEX(Trades!$F:$F,$A59+3))</f>
        <v/>
      </c>
      <c r="F59" s="26" t="str" cm="1">
        <f t="array" ref="F59">IF($A59="","",INDEX(Trades!$AB:$AB,$A59+3))</f>
        <v/>
      </c>
      <c r="G59" s="16" t="str" cm="1">
        <f t="array" ref="G59">IF($A59="","",INDEX(Trades!$AA:$AA,$A59+3))</f>
        <v/>
      </c>
      <c r="H59" s="16" t="str" cm="1">
        <f t="array" ref="H59">IF($A59="","",INDEX(Trades!$AC:$AC,$A59+3))</f>
        <v/>
      </c>
      <c r="I59" s="18" t="str" cm="1">
        <f t="array" ref="I59">IF($A59="","",INDEX(Trades!$Q:$Q,$A59+3))</f>
        <v/>
      </c>
      <c r="J59" s="16" t="str" cm="1">
        <f t="array" ref="J59">IF($A59="","",INDEX(Trades!$R:$R,$A59+3))</f>
        <v/>
      </c>
      <c r="K59" s="16" t="str" cm="1">
        <f t="array" ref="K59">IF($A59="","",INDEX(Trades!$N:$N,$A59+3))</f>
        <v/>
      </c>
    </row>
    <row r="60" spans="1:11" x14ac:dyDescent="0.3">
      <c r="A60" t="str" cm="1">
        <f t="array" ref="A60">IFERROR(_xlfn.AGGREGATE(15,6,(ROW(Trades!$AC$4:$AC$140)-3)/((Trades!$AA$4:$AA$140="No")+(Trades!$AC$4:$AC$140="No")&gt;0),ROW()-19),"")</f>
        <v/>
      </c>
      <c r="B60" s="16" t="str" cm="1">
        <f t="array" ref="B60">IF($A60="","",INDEX(Trades!$C:$C,$A60+3))</f>
        <v/>
      </c>
      <c r="C60" s="17" t="str" cm="1">
        <f t="array" ref="C60">IF($A60="","",INDEX(Trades!$D:$D,$A60+3))</f>
        <v/>
      </c>
      <c r="D60" s="16" t="str" cm="1">
        <f t="array" ref="D60">IF($A60="","",INDEX(Trades!$E:$E,$A60+3))</f>
        <v/>
      </c>
      <c r="E60" s="25" t="str" cm="1">
        <f t="array" ref="E60">IF($A60="","",INDEX(Trades!$F:$F,$A60+3))</f>
        <v/>
      </c>
      <c r="F60" s="26" t="str" cm="1">
        <f t="array" ref="F60">IF($A60="","",INDEX(Trades!$AB:$AB,$A60+3))</f>
        <v/>
      </c>
      <c r="G60" s="16" t="str" cm="1">
        <f t="array" ref="G60">IF($A60="","",INDEX(Trades!$AA:$AA,$A60+3))</f>
        <v/>
      </c>
      <c r="H60" s="16" t="str" cm="1">
        <f t="array" ref="H60">IF($A60="","",INDEX(Trades!$AC:$AC,$A60+3))</f>
        <v/>
      </c>
      <c r="I60" s="18" t="str" cm="1">
        <f t="array" ref="I60">IF($A60="","",INDEX(Trades!$Q:$Q,$A60+3))</f>
        <v/>
      </c>
      <c r="J60" s="16" t="str" cm="1">
        <f t="array" ref="J60">IF($A60="","",INDEX(Trades!$R:$R,$A60+3))</f>
        <v/>
      </c>
      <c r="K60" s="16" t="str" cm="1">
        <f t="array" ref="K60">IF($A60="","",INDEX(Trades!$N:$N,$A60+3))</f>
        <v/>
      </c>
    </row>
    <row r="61" spans="1:11" x14ac:dyDescent="0.3">
      <c r="A61" t="str" cm="1">
        <f t="array" ref="A61">IFERROR(_xlfn.AGGREGATE(15,6,(ROW(Trades!$AC$4:$AC$140)-3)/((Trades!$AA$4:$AA$140="No")+(Trades!$AC$4:$AC$140="No")&gt;0),ROW()-19),"")</f>
        <v/>
      </c>
      <c r="B61" s="16" t="str" cm="1">
        <f t="array" ref="B61">IF($A61="","",INDEX(Trades!$C:$C,$A61+3))</f>
        <v/>
      </c>
      <c r="C61" s="17" t="str" cm="1">
        <f t="array" ref="C61">IF($A61="","",INDEX(Trades!$D:$D,$A61+3))</f>
        <v/>
      </c>
      <c r="D61" s="16" t="str" cm="1">
        <f t="array" ref="D61">IF($A61="","",INDEX(Trades!$E:$E,$A61+3))</f>
        <v/>
      </c>
      <c r="E61" s="25" t="str" cm="1">
        <f t="array" ref="E61">IF($A61="","",INDEX(Trades!$F:$F,$A61+3))</f>
        <v/>
      </c>
      <c r="F61" s="26" t="str" cm="1">
        <f t="array" ref="F61">IF($A61="","",INDEX(Trades!$AB:$AB,$A61+3))</f>
        <v/>
      </c>
      <c r="G61" s="16" t="str" cm="1">
        <f t="array" ref="G61">IF($A61="","",INDEX(Trades!$AA:$AA,$A61+3))</f>
        <v/>
      </c>
      <c r="H61" s="16" t="str" cm="1">
        <f t="array" ref="H61">IF($A61="","",INDEX(Trades!$AC:$AC,$A61+3))</f>
        <v/>
      </c>
      <c r="I61" s="18" t="str" cm="1">
        <f t="array" ref="I61">IF($A61="","",INDEX(Trades!$Q:$Q,$A61+3))</f>
        <v/>
      </c>
      <c r="J61" s="16" t="str" cm="1">
        <f t="array" ref="J61">IF($A61="","",INDEX(Trades!$R:$R,$A61+3))</f>
        <v/>
      </c>
      <c r="K61" s="16" t="str" cm="1">
        <f t="array" ref="K61">IF($A61="","",INDEX(Trades!$N:$N,$A61+3))</f>
        <v/>
      </c>
    </row>
    <row r="62" spans="1:11" x14ac:dyDescent="0.3">
      <c r="A62" t="str" cm="1">
        <f t="array" ref="A62">IFERROR(_xlfn.AGGREGATE(15,6,(ROW(Trades!$AC$4:$AC$140)-3)/((Trades!$AA$4:$AA$140="No")+(Trades!$AC$4:$AC$140="No")&gt;0),ROW()-19),"")</f>
        <v/>
      </c>
      <c r="B62" s="16" t="str" cm="1">
        <f t="array" ref="B62">IF($A62="","",INDEX(Trades!$C:$C,$A62+3))</f>
        <v/>
      </c>
      <c r="C62" s="17" t="str" cm="1">
        <f t="array" ref="C62">IF($A62="","",INDEX(Trades!$D:$D,$A62+3))</f>
        <v/>
      </c>
      <c r="D62" s="16" t="str" cm="1">
        <f t="array" ref="D62">IF($A62="","",INDEX(Trades!$E:$E,$A62+3))</f>
        <v/>
      </c>
      <c r="E62" s="25" t="str" cm="1">
        <f t="array" ref="E62">IF($A62="","",INDEX(Trades!$F:$F,$A62+3))</f>
        <v/>
      </c>
      <c r="F62" s="26" t="str" cm="1">
        <f t="array" ref="F62">IF($A62="","",INDEX(Trades!$AB:$AB,$A62+3))</f>
        <v/>
      </c>
      <c r="G62" s="16" t="str" cm="1">
        <f t="array" ref="G62">IF($A62="","",INDEX(Trades!$AA:$AA,$A62+3))</f>
        <v/>
      </c>
      <c r="H62" s="16" t="str" cm="1">
        <f t="array" ref="H62">IF($A62="","",INDEX(Trades!$AC:$AC,$A62+3))</f>
        <v/>
      </c>
      <c r="I62" s="18" t="str" cm="1">
        <f t="array" ref="I62">IF($A62="","",INDEX(Trades!$Q:$Q,$A62+3))</f>
        <v/>
      </c>
      <c r="J62" s="16" t="str" cm="1">
        <f t="array" ref="J62">IF($A62="","",INDEX(Trades!$R:$R,$A62+3))</f>
        <v/>
      </c>
      <c r="K62" s="16" t="str" cm="1">
        <f t="array" ref="K62">IF($A62="","",INDEX(Trades!$N:$N,$A62+3))</f>
        <v/>
      </c>
    </row>
    <row r="63" spans="1:11" x14ac:dyDescent="0.3">
      <c r="A63" t="str" cm="1">
        <f t="array" ref="A63">IFERROR(_xlfn.AGGREGATE(15,6,(ROW(Trades!$AC$4:$AC$140)-3)/((Trades!$AA$4:$AA$140="No")+(Trades!$AC$4:$AC$140="No")&gt;0),ROW()-19),"")</f>
        <v/>
      </c>
      <c r="B63" s="16" t="str" cm="1">
        <f t="array" ref="B63">IF($A63="","",INDEX(Trades!$C:$C,$A63+3))</f>
        <v/>
      </c>
      <c r="C63" s="17" t="str" cm="1">
        <f t="array" ref="C63">IF($A63="","",INDEX(Trades!$D:$D,$A63+3))</f>
        <v/>
      </c>
      <c r="D63" s="16" t="str" cm="1">
        <f t="array" ref="D63">IF($A63="","",INDEX(Trades!$E:$E,$A63+3))</f>
        <v/>
      </c>
      <c r="E63" s="25" t="str" cm="1">
        <f t="array" ref="E63">IF($A63="","",INDEX(Trades!$F:$F,$A63+3))</f>
        <v/>
      </c>
      <c r="F63" s="26" t="str" cm="1">
        <f t="array" ref="F63">IF($A63="","",INDEX(Trades!$AB:$AB,$A63+3))</f>
        <v/>
      </c>
      <c r="G63" s="16" t="str" cm="1">
        <f t="array" ref="G63">IF($A63="","",INDEX(Trades!$AA:$AA,$A63+3))</f>
        <v/>
      </c>
      <c r="H63" s="16" t="str" cm="1">
        <f t="array" ref="H63">IF($A63="","",INDEX(Trades!$AC:$AC,$A63+3))</f>
        <v/>
      </c>
      <c r="I63" s="18" t="str" cm="1">
        <f t="array" ref="I63">IF($A63="","",INDEX(Trades!$Q:$Q,$A63+3))</f>
        <v/>
      </c>
      <c r="J63" s="16" t="str" cm="1">
        <f t="array" ref="J63">IF($A63="","",INDEX(Trades!$R:$R,$A63+3))</f>
        <v/>
      </c>
      <c r="K63" s="16" t="str" cm="1">
        <f t="array" ref="K63">IF($A63="","",INDEX(Trades!$N:$N,$A63+3))</f>
        <v/>
      </c>
    </row>
    <row r="64" spans="1:11" x14ac:dyDescent="0.3">
      <c r="A64" t="str" cm="1">
        <f t="array" ref="A64">IFERROR(_xlfn.AGGREGATE(15,6,(ROW(Trades!$AC$4:$AC$140)-3)/((Trades!$AA$4:$AA$140="No")+(Trades!$AC$4:$AC$140="No")&gt;0),ROW()-19),"")</f>
        <v/>
      </c>
      <c r="B64" s="16" t="str" cm="1">
        <f t="array" ref="B64">IF($A64="","",INDEX(Trades!$C:$C,$A64+3))</f>
        <v/>
      </c>
      <c r="C64" s="17" t="str" cm="1">
        <f t="array" ref="C64">IF($A64="","",INDEX(Trades!$D:$D,$A64+3))</f>
        <v/>
      </c>
      <c r="D64" s="16" t="str" cm="1">
        <f t="array" ref="D64">IF($A64="","",INDEX(Trades!$E:$E,$A64+3))</f>
        <v/>
      </c>
      <c r="E64" s="25" t="str" cm="1">
        <f t="array" ref="E64">IF($A64="","",INDEX(Trades!$F:$F,$A64+3))</f>
        <v/>
      </c>
      <c r="F64" s="26" t="str" cm="1">
        <f t="array" ref="F64">IF($A64="","",INDEX(Trades!$AB:$AB,$A64+3))</f>
        <v/>
      </c>
      <c r="G64" s="16" t="str" cm="1">
        <f t="array" ref="G64">IF($A64="","",INDEX(Trades!$AA:$AA,$A64+3))</f>
        <v/>
      </c>
      <c r="H64" s="16" t="str" cm="1">
        <f t="array" ref="H64">IF($A64="","",INDEX(Trades!$AC:$AC,$A64+3))</f>
        <v/>
      </c>
      <c r="I64" s="18" t="str" cm="1">
        <f t="array" ref="I64">IF($A64="","",INDEX(Trades!$Q:$Q,$A64+3))</f>
        <v/>
      </c>
      <c r="J64" s="16" t="str" cm="1">
        <f t="array" ref="J64">IF($A64="","",INDEX(Trades!$R:$R,$A64+3))</f>
        <v/>
      </c>
      <c r="K64" s="16" t="str" cm="1">
        <f t="array" ref="K64">IF($A64="","",INDEX(Trades!$N:$N,$A64+3))</f>
        <v/>
      </c>
    </row>
    <row r="65" spans="1:11" x14ac:dyDescent="0.3">
      <c r="A65" t="str" cm="1">
        <f t="array" ref="A65">IFERROR(_xlfn.AGGREGATE(15,6,(ROW(Trades!$AC$4:$AC$140)-3)/((Trades!$AA$4:$AA$140="No")+(Trades!$AC$4:$AC$140="No")&gt;0),ROW()-19),"")</f>
        <v/>
      </c>
      <c r="B65" s="16" t="str" cm="1">
        <f t="array" ref="B65">IF($A65="","",INDEX(Trades!$C:$C,$A65+3))</f>
        <v/>
      </c>
      <c r="C65" s="17" t="str" cm="1">
        <f t="array" ref="C65">IF($A65="","",INDEX(Trades!$D:$D,$A65+3))</f>
        <v/>
      </c>
      <c r="D65" s="16" t="str" cm="1">
        <f t="array" ref="D65">IF($A65="","",INDEX(Trades!$E:$E,$A65+3))</f>
        <v/>
      </c>
      <c r="E65" s="25" t="str" cm="1">
        <f t="array" ref="E65">IF($A65="","",INDEX(Trades!$F:$F,$A65+3))</f>
        <v/>
      </c>
      <c r="F65" s="26" t="str" cm="1">
        <f t="array" ref="F65">IF($A65="","",INDEX(Trades!$AB:$AB,$A65+3))</f>
        <v/>
      </c>
      <c r="G65" s="16" t="str" cm="1">
        <f t="array" ref="G65">IF($A65="","",INDEX(Trades!$AA:$AA,$A65+3))</f>
        <v/>
      </c>
      <c r="H65" s="16" t="str" cm="1">
        <f t="array" ref="H65">IF($A65="","",INDEX(Trades!$AC:$AC,$A65+3))</f>
        <v/>
      </c>
      <c r="I65" s="18" t="str" cm="1">
        <f t="array" ref="I65">IF($A65="","",INDEX(Trades!$Q:$Q,$A65+3))</f>
        <v/>
      </c>
      <c r="J65" s="16" t="str" cm="1">
        <f t="array" ref="J65">IF($A65="","",INDEX(Trades!$R:$R,$A65+3))</f>
        <v/>
      </c>
      <c r="K65" s="16" t="str" cm="1">
        <f t="array" ref="K65">IF($A65="","",INDEX(Trades!$N:$N,$A65+3))</f>
        <v/>
      </c>
    </row>
    <row r="66" spans="1:11" x14ac:dyDescent="0.3">
      <c r="A66" t="str" cm="1">
        <f t="array" ref="A66">IFERROR(_xlfn.AGGREGATE(15,6,(ROW(Trades!$AC$4:$AC$140)-3)/((Trades!$AA$4:$AA$140="No")+(Trades!$AC$4:$AC$140="No")&gt;0),ROW()-19),"")</f>
        <v/>
      </c>
      <c r="B66" s="16" t="str" cm="1">
        <f t="array" ref="B66">IF($A66="","",INDEX(Trades!$C:$C,$A66+3))</f>
        <v/>
      </c>
      <c r="C66" s="17" t="str" cm="1">
        <f t="array" ref="C66">IF($A66="","",INDEX(Trades!$D:$D,$A66+3))</f>
        <v/>
      </c>
      <c r="D66" s="16" t="str" cm="1">
        <f t="array" ref="D66">IF($A66="","",INDEX(Trades!$E:$E,$A66+3))</f>
        <v/>
      </c>
      <c r="E66" s="25" t="str" cm="1">
        <f t="array" ref="E66">IF($A66="","",INDEX(Trades!$F:$F,$A66+3))</f>
        <v/>
      </c>
      <c r="F66" s="26" t="str" cm="1">
        <f t="array" ref="F66">IF($A66="","",INDEX(Trades!$AB:$AB,$A66+3))</f>
        <v/>
      </c>
      <c r="G66" s="16" t="str" cm="1">
        <f t="array" ref="G66">IF($A66="","",INDEX(Trades!$AA:$AA,$A66+3))</f>
        <v/>
      </c>
      <c r="H66" s="16" t="str" cm="1">
        <f t="array" ref="H66">IF($A66="","",INDEX(Trades!$AC:$AC,$A66+3))</f>
        <v/>
      </c>
      <c r="I66" s="18" t="str" cm="1">
        <f t="array" ref="I66">IF($A66="","",INDEX(Trades!$Q:$Q,$A66+3))</f>
        <v/>
      </c>
      <c r="J66" s="16" t="str" cm="1">
        <f t="array" ref="J66">IF($A66="","",INDEX(Trades!$R:$R,$A66+3))</f>
        <v/>
      </c>
      <c r="K66" s="16" t="str" cm="1">
        <f t="array" ref="K66">IF($A66="","",INDEX(Trades!$N:$N,$A66+3))</f>
        <v/>
      </c>
    </row>
    <row r="67" spans="1:11" x14ac:dyDescent="0.3">
      <c r="A67" t="str" cm="1">
        <f t="array" ref="A67">IFERROR(_xlfn.AGGREGATE(15,6,(ROW(Trades!$AC$4:$AC$140)-3)/((Trades!$AA$4:$AA$140="No")+(Trades!$AC$4:$AC$140="No")&gt;0),ROW()-19),"")</f>
        <v/>
      </c>
      <c r="B67" s="16" t="str" cm="1">
        <f t="array" ref="B67">IF($A67="","",INDEX(Trades!$C:$C,$A67+3))</f>
        <v/>
      </c>
      <c r="C67" s="17" t="str" cm="1">
        <f t="array" ref="C67">IF($A67="","",INDEX(Trades!$D:$D,$A67+3))</f>
        <v/>
      </c>
      <c r="D67" s="16" t="str" cm="1">
        <f t="array" ref="D67">IF($A67="","",INDEX(Trades!$E:$E,$A67+3))</f>
        <v/>
      </c>
      <c r="E67" s="25" t="str" cm="1">
        <f t="array" ref="E67">IF($A67="","",INDEX(Trades!$F:$F,$A67+3))</f>
        <v/>
      </c>
      <c r="F67" s="26" t="str" cm="1">
        <f t="array" ref="F67">IF($A67="","",INDEX(Trades!$AB:$AB,$A67+3))</f>
        <v/>
      </c>
      <c r="G67" s="16" t="str" cm="1">
        <f t="array" ref="G67">IF($A67="","",INDEX(Trades!$AA:$AA,$A67+3))</f>
        <v/>
      </c>
      <c r="H67" s="16" t="str" cm="1">
        <f t="array" ref="H67">IF($A67="","",INDEX(Trades!$AC:$AC,$A67+3))</f>
        <v/>
      </c>
      <c r="I67" s="18" t="str" cm="1">
        <f t="array" ref="I67">IF($A67="","",INDEX(Trades!$Q:$Q,$A67+3))</f>
        <v/>
      </c>
      <c r="J67" s="16" t="str" cm="1">
        <f t="array" ref="J67">IF($A67="","",INDEX(Trades!$R:$R,$A67+3))</f>
        <v/>
      </c>
      <c r="K67" s="16" t="str" cm="1">
        <f t="array" ref="K67">IF($A67="","",INDEX(Trades!$N:$N,$A67+3))</f>
        <v/>
      </c>
    </row>
    <row r="68" spans="1:11" x14ac:dyDescent="0.3">
      <c r="A68" t="str" cm="1">
        <f t="array" ref="A68">IFERROR(_xlfn.AGGREGATE(15,6,(ROW(Trades!$AC$4:$AC$140)-3)/((Trades!$AA$4:$AA$140="No")+(Trades!$AC$4:$AC$140="No")&gt;0),ROW()-19),"")</f>
        <v/>
      </c>
      <c r="B68" s="16" t="str" cm="1">
        <f t="array" ref="B68">IF($A68="","",INDEX(Trades!$C:$C,$A68+3))</f>
        <v/>
      </c>
      <c r="C68" s="17" t="str" cm="1">
        <f t="array" ref="C68">IF($A68="","",INDEX(Trades!$D:$D,$A68+3))</f>
        <v/>
      </c>
      <c r="D68" s="16" t="str" cm="1">
        <f t="array" ref="D68">IF($A68="","",INDEX(Trades!$E:$E,$A68+3))</f>
        <v/>
      </c>
      <c r="E68" s="25" t="str" cm="1">
        <f t="array" ref="E68">IF($A68="","",INDEX(Trades!$F:$F,$A68+3))</f>
        <v/>
      </c>
      <c r="F68" s="26" t="str" cm="1">
        <f t="array" ref="F68">IF($A68="","",INDEX(Trades!$AB:$AB,$A68+3))</f>
        <v/>
      </c>
      <c r="G68" s="16" t="str" cm="1">
        <f t="array" ref="G68">IF($A68="","",INDEX(Trades!$AA:$AA,$A68+3))</f>
        <v/>
      </c>
      <c r="H68" s="16" t="str" cm="1">
        <f t="array" ref="H68">IF($A68="","",INDEX(Trades!$AC:$AC,$A68+3))</f>
        <v/>
      </c>
      <c r="I68" s="18" t="str" cm="1">
        <f t="array" ref="I68">IF($A68="","",INDEX(Trades!$Q:$Q,$A68+3))</f>
        <v/>
      </c>
      <c r="J68" s="16" t="str" cm="1">
        <f t="array" ref="J68">IF($A68="","",INDEX(Trades!$R:$R,$A68+3))</f>
        <v/>
      </c>
      <c r="K68" s="16" t="str" cm="1">
        <f t="array" ref="K68">IF($A68="","",INDEX(Trades!$N:$N,$A68+3))</f>
        <v/>
      </c>
    </row>
    <row r="69" spans="1:11" x14ac:dyDescent="0.3">
      <c r="A69" t="str" cm="1">
        <f t="array" ref="A69">IFERROR(_xlfn.AGGREGATE(15,6,(ROW(Trades!$AC$4:$AC$140)-3)/((Trades!$AA$4:$AA$140="No")+(Trades!$AC$4:$AC$140="No")&gt;0),ROW()-19),"")</f>
        <v/>
      </c>
      <c r="B69" s="16" t="str" cm="1">
        <f t="array" ref="B69">IF($A69="","",INDEX(Trades!$C:$C,$A69+3))</f>
        <v/>
      </c>
      <c r="C69" s="17" t="str" cm="1">
        <f t="array" ref="C69">IF($A69="","",INDEX(Trades!$D:$D,$A69+3))</f>
        <v/>
      </c>
      <c r="D69" s="16" t="str" cm="1">
        <f t="array" ref="D69">IF($A69="","",INDEX(Trades!$E:$E,$A69+3))</f>
        <v/>
      </c>
      <c r="E69" s="25" t="str" cm="1">
        <f t="array" ref="E69">IF($A69="","",INDEX(Trades!$F:$F,$A69+3))</f>
        <v/>
      </c>
      <c r="F69" s="26" t="str" cm="1">
        <f t="array" ref="F69">IF($A69="","",INDEX(Trades!$AB:$AB,$A69+3))</f>
        <v/>
      </c>
      <c r="G69" s="16" t="str" cm="1">
        <f t="array" ref="G69">IF($A69="","",INDEX(Trades!$AA:$AA,$A69+3))</f>
        <v/>
      </c>
      <c r="H69" s="16" t="str" cm="1">
        <f t="array" ref="H69">IF($A69="","",INDEX(Trades!$AC:$AC,$A69+3))</f>
        <v/>
      </c>
      <c r="I69" s="18" t="str" cm="1">
        <f t="array" ref="I69">IF($A69="","",INDEX(Trades!$Q:$Q,$A69+3))</f>
        <v/>
      </c>
      <c r="J69" s="16" t="str" cm="1">
        <f t="array" ref="J69">IF($A69="","",INDEX(Trades!$R:$R,$A69+3))</f>
        <v/>
      </c>
      <c r="K69" s="16" t="str" cm="1">
        <f t="array" ref="K69">IF($A69="","",INDEX(Trades!$N:$N,$A69+3))</f>
        <v/>
      </c>
    </row>
    <row r="70" spans="1:11" x14ac:dyDescent="0.3">
      <c r="A70" t="str" cm="1">
        <f t="array" ref="A70">IFERROR(_xlfn.AGGREGATE(15,6,(ROW(Trades!$AC$4:$AC$140)-3)/((Trades!$AA$4:$AA$140="No")+(Trades!$AC$4:$AC$140="No")&gt;0),ROW()-19),"")</f>
        <v/>
      </c>
      <c r="B70" s="16" t="str" cm="1">
        <f t="array" ref="B70">IF($A70="","",INDEX(Trades!$C:$C,$A70+3))</f>
        <v/>
      </c>
      <c r="C70" s="17" t="str" cm="1">
        <f t="array" ref="C70">IF($A70="","",INDEX(Trades!$D:$D,$A70+3))</f>
        <v/>
      </c>
      <c r="D70" s="16" t="str" cm="1">
        <f t="array" ref="D70">IF($A70="","",INDEX(Trades!$E:$E,$A70+3))</f>
        <v/>
      </c>
      <c r="E70" s="25" t="str" cm="1">
        <f t="array" ref="E70">IF($A70="","",INDEX(Trades!$F:$F,$A70+3))</f>
        <v/>
      </c>
      <c r="F70" s="26" t="str" cm="1">
        <f t="array" ref="F70">IF($A70="","",INDEX(Trades!$AB:$AB,$A70+3))</f>
        <v/>
      </c>
      <c r="G70" s="16" t="str" cm="1">
        <f t="array" ref="G70">IF($A70="","",INDEX(Trades!$AA:$AA,$A70+3))</f>
        <v/>
      </c>
      <c r="H70" s="16" t="str" cm="1">
        <f t="array" ref="H70">IF($A70="","",INDEX(Trades!$AC:$AC,$A70+3))</f>
        <v/>
      </c>
      <c r="I70" s="18" t="str" cm="1">
        <f t="array" ref="I70">IF($A70="","",INDEX(Trades!$Q:$Q,$A70+3))</f>
        <v/>
      </c>
      <c r="J70" s="16" t="str" cm="1">
        <f t="array" ref="J70">IF($A70="","",INDEX(Trades!$R:$R,$A70+3))</f>
        <v/>
      </c>
      <c r="K70" s="16" t="str" cm="1">
        <f t="array" ref="K70">IF($A70="","",INDEX(Trades!$N:$N,$A70+3))</f>
        <v/>
      </c>
    </row>
    <row r="71" spans="1:11" x14ac:dyDescent="0.3">
      <c r="A71" t="str" cm="1">
        <f t="array" ref="A71">IFERROR(_xlfn.AGGREGATE(15,6,(ROW(Trades!$AC$4:$AC$140)-3)/((Trades!$AA$4:$AA$140="No")+(Trades!$AC$4:$AC$140="No")&gt;0),ROW()-19),"")</f>
        <v/>
      </c>
      <c r="B71" s="16" t="str" cm="1">
        <f t="array" ref="B71">IF($A71="","",INDEX(Trades!$C:$C,$A71+3))</f>
        <v/>
      </c>
      <c r="C71" s="17" t="str" cm="1">
        <f t="array" ref="C71">IF($A71="","",INDEX(Trades!$D:$D,$A71+3))</f>
        <v/>
      </c>
      <c r="D71" s="16" t="str" cm="1">
        <f t="array" ref="D71">IF($A71="","",INDEX(Trades!$E:$E,$A71+3))</f>
        <v/>
      </c>
      <c r="E71" s="25" t="str" cm="1">
        <f t="array" ref="E71">IF($A71="","",INDEX(Trades!$F:$F,$A71+3))</f>
        <v/>
      </c>
      <c r="F71" s="26" t="str" cm="1">
        <f t="array" ref="F71">IF($A71="","",INDEX(Trades!$AB:$AB,$A71+3))</f>
        <v/>
      </c>
      <c r="G71" s="16" t="str" cm="1">
        <f t="array" ref="G71">IF($A71="","",INDEX(Trades!$AA:$AA,$A71+3))</f>
        <v/>
      </c>
      <c r="H71" s="16" t="str" cm="1">
        <f t="array" ref="H71">IF($A71="","",INDEX(Trades!$AC:$AC,$A71+3))</f>
        <v/>
      </c>
      <c r="I71" s="18" t="str" cm="1">
        <f t="array" ref="I71">IF($A71="","",INDEX(Trades!$Q:$Q,$A71+3))</f>
        <v/>
      </c>
      <c r="J71" s="16" t="str" cm="1">
        <f t="array" ref="J71">IF($A71="","",INDEX(Trades!$R:$R,$A71+3))</f>
        <v/>
      </c>
      <c r="K71" s="16" t="str" cm="1">
        <f t="array" ref="K71">IF($A71="","",INDEX(Trades!$N:$N,$A71+3))</f>
        <v/>
      </c>
    </row>
    <row r="72" spans="1:11" x14ac:dyDescent="0.3">
      <c r="A72" t="str" cm="1">
        <f t="array" ref="A72">IFERROR(_xlfn.AGGREGATE(15,6,(ROW(Trades!$AC$4:$AC$140)-3)/((Trades!$AA$4:$AA$140="No")+(Trades!$AC$4:$AC$140="No")&gt;0),ROW()-19),"")</f>
        <v/>
      </c>
      <c r="B72" s="16" t="str" cm="1">
        <f t="array" ref="B72">IF($A72="","",INDEX(Trades!$C:$C,$A72+3))</f>
        <v/>
      </c>
      <c r="C72" s="17" t="str" cm="1">
        <f t="array" ref="C72">IF($A72="","",INDEX(Trades!$D:$D,$A72+3))</f>
        <v/>
      </c>
      <c r="D72" s="16" t="str" cm="1">
        <f t="array" ref="D72">IF($A72="","",INDEX(Trades!$E:$E,$A72+3))</f>
        <v/>
      </c>
      <c r="E72" s="25" t="str" cm="1">
        <f t="array" ref="E72">IF($A72="","",INDEX(Trades!$F:$F,$A72+3))</f>
        <v/>
      </c>
      <c r="F72" s="26" t="str" cm="1">
        <f t="array" ref="F72">IF($A72="","",INDEX(Trades!$AB:$AB,$A72+3))</f>
        <v/>
      </c>
      <c r="G72" s="16" t="str" cm="1">
        <f t="array" ref="G72">IF($A72="","",INDEX(Trades!$AA:$AA,$A72+3))</f>
        <v/>
      </c>
      <c r="H72" s="16" t="str" cm="1">
        <f t="array" ref="H72">IF($A72="","",INDEX(Trades!$AC:$AC,$A72+3))</f>
        <v/>
      </c>
      <c r="I72" s="18" t="str" cm="1">
        <f t="array" ref="I72">IF($A72="","",INDEX(Trades!$Q:$Q,$A72+3))</f>
        <v/>
      </c>
      <c r="J72" s="16" t="str" cm="1">
        <f t="array" ref="J72">IF($A72="","",INDEX(Trades!$R:$R,$A72+3))</f>
        <v/>
      </c>
      <c r="K72" s="16" t="str" cm="1">
        <f t="array" ref="K72">IF($A72="","",INDEX(Trades!$N:$N,$A72+3))</f>
        <v/>
      </c>
    </row>
    <row r="73" spans="1:11" x14ac:dyDescent="0.3">
      <c r="A73" t="str" cm="1">
        <f t="array" ref="A73">IFERROR(_xlfn.AGGREGATE(15,6,(ROW(Trades!$AC$4:$AC$140)-3)/((Trades!$AA$4:$AA$140="No")+(Trades!$AC$4:$AC$140="No")&gt;0),ROW()-19),"")</f>
        <v/>
      </c>
      <c r="B73" s="16" t="str" cm="1">
        <f t="array" ref="B73">IF($A73="","",INDEX(Trades!$C:$C,$A73+3))</f>
        <v/>
      </c>
      <c r="C73" s="17" t="str" cm="1">
        <f t="array" ref="C73">IF($A73="","",INDEX(Trades!$D:$D,$A73+3))</f>
        <v/>
      </c>
      <c r="D73" s="16" t="str" cm="1">
        <f t="array" ref="D73">IF($A73="","",INDEX(Trades!$E:$E,$A73+3))</f>
        <v/>
      </c>
      <c r="E73" s="25" t="str" cm="1">
        <f t="array" ref="E73">IF($A73="","",INDEX(Trades!$F:$F,$A73+3))</f>
        <v/>
      </c>
      <c r="F73" s="26" t="str" cm="1">
        <f t="array" ref="F73">IF($A73="","",INDEX(Trades!$AB:$AB,$A73+3))</f>
        <v/>
      </c>
      <c r="G73" s="16" t="str" cm="1">
        <f t="array" ref="G73">IF($A73="","",INDEX(Trades!$AA:$AA,$A73+3))</f>
        <v/>
      </c>
      <c r="H73" s="16" t="str" cm="1">
        <f t="array" ref="H73">IF($A73="","",INDEX(Trades!$AC:$AC,$A73+3))</f>
        <v/>
      </c>
      <c r="I73" s="18" t="str" cm="1">
        <f t="array" ref="I73">IF($A73="","",INDEX(Trades!$Q:$Q,$A73+3))</f>
        <v/>
      </c>
      <c r="J73" s="16" t="str" cm="1">
        <f t="array" ref="J73">IF($A73="","",INDEX(Trades!$R:$R,$A73+3))</f>
        <v/>
      </c>
      <c r="K73" s="16" t="str" cm="1">
        <f t="array" ref="K73">IF($A73="","",INDEX(Trades!$N:$N,$A73+3))</f>
        <v/>
      </c>
    </row>
    <row r="74" spans="1:11" x14ac:dyDescent="0.3">
      <c r="A74" t="str" cm="1">
        <f t="array" ref="A74">IFERROR(_xlfn.AGGREGATE(15,6,(ROW(Trades!$AC$4:$AC$140)-3)/((Trades!$AA$4:$AA$140="No")+(Trades!$AC$4:$AC$140="No")&gt;0),ROW()-19),"")</f>
        <v/>
      </c>
      <c r="B74" s="16" t="str" cm="1">
        <f t="array" ref="B74">IF($A74="","",INDEX(Trades!$C:$C,$A74+3))</f>
        <v/>
      </c>
      <c r="C74" s="17" t="str" cm="1">
        <f t="array" ref="C74">IF($A74="","",INDEX(Trades!$D:$D,$A74+3))</f>
        <v/>
      </c>
      <c r="D74" s="16" t="str" cm="1">
        <f t="array" ref="D74">IF($A74="","",INDEX(Trades!$E:$E,$A74+3))</f>
        <v/>
      </c>
      <c r="E74" s="25" t="str" cm="1">
        <f t="array" ref="E74">IF($A74="","",INDEX(Trades!$F:$F,$A74+3))</f>
        <v/>
      </c>
      <c r="F74" s="26" t="str" cm="1">
        <f t="array" ref="F74">IF($A74="","",INDEX(Trades!$AB:$AB,$A74+3))</f>
        <v/>
      </c>
      <c r="G74" s="16" t="str" cm="1">
        <f t="array" ref="G74">IF($A74="","",INDEX(Trades!$AA:$AA,$A74+3))</f>
        <v/>
      </c>
      <c r="H74" s="16" t="str" cm="1">
        <f t="array" ref="H74">IF($A74="","",INDEX(Trades!$AC:$AC,$A74+3))</f>
        <v/>
      </c>
      <c r="I74" s="18" t="str" cm="1">
        <f t="array" ref="I74">IF($A74="","",INDEX(Trades!$Q:$Q,$A74+3))</f>
        <v/>
      </c>
      <c r="J74" s="16" t="str" cm="1">
        <f t="array" ref="J74">IF($A74="","",INDEX(Trades!$R:$R,$A74+3))</f>
        <v/>
      </c>
      <c r="K74" s="16" t="str" cm="1">
        <f t="array" ref="K74">IF($A74="","",INDEX(Trades!$N:$N,$A74+3))</f>
        <v/>
      </c>
    </row>
    <row r="75" spans="1:11" x14ac:dyDescent="0.3">
      <c r="A75" t="str" cm="1">
        <f t="array" ref="A75">IFERROR(_xlfn.AGGREGATE(15,6,(ROW(Trades!$AC$4:$AC$140)-3)/((Trades!$AA$4:$AA$140="No")+(Trades!$AC$4:$AC$140="No")&gt;0),ROW()-19),"")</f>
        <v/>
      </c>
      <c r="B75" s="16" t="str" cm="1">
        <f t="array" ref="B75">IF($A75="","",INDEX(Trades!$C:$C,$A75+3))</f>
        <v/>
      </c>
      <c r="C75" s="17" t="str" cm="1">
        <f t="array" ref="C75">IF($A75="","",INDEX(Trades!$D:$D,$A75+3))</f>
        <v/>
      </c>
      <c r="D75" s="16" t="str" cm="1">
        <f t="array" ref="D75">IF($A75="","",INDEX(Trades!$E:$E,$A75+3))</f>
        <v/>
      </c>
      <c r="E75" s="25" t="str" cm="1">
        <f t="array" ref="E75">IF($A75="","",INDEX(Trades!$F:$F,$A75+3))</f>
        <v/>
      </c>
      <c r="F75" s="26" t="str" cm="1">
        <f t="array" ref="F75">IF($A75="","",INDEX(Trades!$AB:$AB,$A75+3))</f>
        <v/>
      </c>
      <c r="G75" s="16" t="str" cm="1">
        <f t="array" ref="G75">IF($A75="","",INDEX(Trades!$AA:$AA,$A75+3))</f>
        <v/>
      </c>
      <c r="H75" s="16" t="str" cm="1">
        <f t="array" ref="H75">IF($A75="","",INDEX(Trades!$AC:$AC,$A75+3))</f>
        <v/>
      </c>
      <c r="I75" s="18" t="str" cm="1">
        <f t="array" ref="I75">IF($A75="","",INDEX(Trades!$Q:$Q,$A75+3))</f>
        <v/>
      </c>
      <c r="J75" s="16" t="str" cm="1">
        <f t="array" ref="J75">IF($A75="","",INDEX(Trades!$R:$R,$A75+3))</f>
        <v/>
      </c>
      <c r="K75" s="16" t="str" cm="1">
        <f t="array" ref="K75">IF($A75="","",INDEX(Trades!$N:$N,$A75+3))</f>
        <v/>
      </c>
    </row>
    <row r="76" spans="1:11" x14ac:dyDescent="0.3">
      <c r="A76" t="str" cm="1">
        <f t="array" ref="A76">IFERROR(_xlfn.AGGREGATE(15,6,(ROW(Trades!$AC$4:$AC$140)-3)/((Trades!$AA$4:$AA$140="No")+(Trades!$AC$4:$AC$140="No")&gt;0),ROW()-19),"")</f>
        <v/>
      </c>
      <c r="B76" s="16" t="str" cm="1">
        <f t="array" ref="B76">IF($A76="","",INDEX(Trades!$C:$C,$A76+3))</f>
        <v/>
      </c>
      <c r="C76" s="17" t="str" cm="1">
        <f t="array" ref="C76">IF($A76="","",INDEX(Trades!$D:$D,$A76+3))</f>
        <v/>
      </c>
      <c r="D76" s="16" t="str" cm="1">
        <f t="array" ref="D76">IF($A76="","",INDEX(Trades!$E:$E,$A76+3))</f>
        <v/>
      </c>
      <c r="E76" s="25" t="str" cm="1">
        <f t="array" ref="E76">IF($A76="","",INDEX(Trades!$F:$F,$A76+3))</f>
        <v/>
      </c>
      <c r="F76" s="26" t="str" cm="1">
        <f t="array" ref="F76">IF($A76="","",INDEX(Trades!$AB:$AB,$A76+3))</f>
        <v/>
      </c>
      <c r="G76" s="16" t="str" cm="1">
        <f t="array" ref="G76">IF($A76="","",INDEX(Trades!$AA:$AA,$A76+3))</f>
        <v/>
      </c>
      <c r="H76" s="16" t="str" cm="1">
        <f t="array" ref="H76">IF($A76="","",INDEX(Trades!$AC:$AC,$A76+3))</f>
        <v/>
      </c>
      <c r="I76" s="18" t="str" cm="1">
        <f t="array" ref="I76">IF($A76="","",INDEX(Trades!$Q:$Q,$A76+3))</f>
        <v/>
      </c>
      <c r="J76" s="16" t="str" cm="1">
        <f t="array" ref="J76">IF($A76="","",INDEX(Trades!$R:$R,$A76+3))</f>
        <v/>
      </c>
      <c r="K76" s="16" t="str" cm="1">
        <f t="array" ref="K76">IF($A76="","",INDEX(Trades!$N:$N,$A76+3))</f>
        <v/>
      </c>
    </row>
    <row r="77" spans="1:11" x14ac:dyDescent="0.3">
      <c r="A77" t="str" cm="1">
        <f t="array" ref="A77">IFERROR(_xlfn.AGGREGATE(15,6,(ROW(Trades!$AC$4:$AC$140)-3)/((Trades!$AA$4:$AA$140="No")+(Trades!$AC$4:$AC$140="No")&gt;0),ROW()-19),"")</f>
        <v/>
      </c>
      <c r="B77" s="16" t="str" cm="1">
        <f t="array" ref="B77">IF($A77="","",INDEX(Trades!$C:$C,$A77+3))</f>
        <v/>
      </c>
      <c r="C77" s="17" t="str" cm="1">
        <f t="array" ref="C77">IF($A77="","",INDEX(Trades!$D:$D,$A77+3))</f>
        <v/>
      </c>
      <c r="D77" s="16" t="str" cm="1">
        <f t="array" ref="D77">IF($A77="","",INDEX(Trades!$E:$E,$A77+3))</f>
        <v/>
      </c>
      <c r="E77" s="25" t="str" cm="1">
        <f t="array" ref="E77">IF($A77="","",INDEX(Trades!$F:$F,$A77+3))</f>
        <v/>
      </c>
      <c r="F77" s="26" t="str" cm="1">
        <f t="array" ref="F77">IF($A77="","",INDEX(Trades!$AB:$AB,$A77+3))</f>
        <v/>
      </c>
      <c r="G77" s="16" t="str" cm="1">
        <f t="array" ref="G77">IF($A77="","",INDEX(Trades!$AA:$AA,$A77+3))</f>
        <v/>
      </c>
      <c r="H77" s="16" t="str" cm="1">
        <f t="array" ref="H77">IF($A77="","",INDEX(Trades!$AC:$AC,$A77+3))</f>
        <v/>
      </c>
      <c r="I77" s="18" t="str" cm="1">
        <f t="array" ref="I77">IF($A77="","",INDEX(Trades!$Q:$Q,$A77+3))</f>
        <v/>
      </c>
      <c r="J77" s="16" t="str" cm="1">
        <f t="array" ref="J77">IF($A77="","",INDEX(Trades!$R:$R,$A77+3))</f>
        <v/>
      </c>
      <c r="K77" s="16" t="str" cm="1">
        <f t="array" ref="K77">IF($A77="","",INDEX(Trades!$N:$N,$A77+3))</f>
        <v/>
      </c>
    </row>
    <row r="78" spans="1:11" x14ac:dyDescent="0.3">
      <c r="A78" t="str" cm="1">
        <f t="array" ref="A78">IFERROR(_xlfn.AGGREGATE(15,6,(ROW(Trades!$AC$4:$AC$140)-3)/((Trades!$AA$4:$AA$140="No")+(Trades!$AC$4:$AC$140="No")&gt;0),ROW()-19),"")</f>
        <v/>
      </c>
      <c r="B78" s="16" t="str" cm="1">
        <f t="array" ref="B78">IF($A78="","",INDEX(Trades!$C:$C,$A78+3))</f>
        <v/>
      </c>
      <c r="C78" s="17" t="str" cm="1">
        <f t="array" ref="C78">IF($A78="","",INDEX(Trades!$D:$D,$A78+3))</f>
        <v/>
      </c>
      <c r="D78" s="16" t="str" cm="1">
        <f t="array" ref="D78">IF($A78="","",INDEX(Trades!$E:$E,$A78+3))</f>
        <v/>
      </c>
      <c r="E78" s="25" t="str" cm="1">
        <f t="array" ref="E78">IF($A78="","",INDEX(Trades!$F:$F,$A78+3))</f>
        <v/>
      </c>
      <c r="F78" s="26" t="str" cm="1">
        <f t="array" ref="F78">IF($A78="","",INDEX(Trades!$AB:$AB,$A78+3))</f>
        <v/>
      </c>
      <c r="G78" s="16" t="str" cm="1">
        <f t="array" ref="G78">IF($A78="","",INDEX(Trades!$AA:$AA,$A78+3))</f>
        <v/>
      </c>
      <c r="H78" s="16" t="str" cm="1">
        <f t="array" ref="H78">IF($A78="","",INDEX(Trades!$AC:$AC,$A78+3))</f>
        <v/>
      </c>
      <c r="I78" s="18" t="str" cm="1">
        <f t="array" ref="I78">IF($A78="","",INDEX(Trades!$Q:$Q,$A78+3))</f>
        <v/>
      </c>
      <c r="J78" s="16" t="str" cm="1">
        <f t="array" ref="J78">IF($A78="","",INDEX(Trades!$R:$R,$A78+3))</f>
        <v/>
      </c>
      <c r="K78" s="16" t="str" cm="1">
        <f t="array" ref="K78">IF($A78="","",INDEX(Trades!$N:$N,$A78+3))</f>
        <v/>
      </c>
    </row>
    <row r="79" spans="1:11" x14ac:dyDescent="0.3">
      <c r="A79" t="str" cm="1">
        <f t="array" ref="A79">IFERROR(_xlfn.AGGREGATE(15,6,(ROW(Trades!$AC$4:$AC$140)-3)/((Trades!$AA$4:$AA$140="No")+(Trades!$AC$4:$AC$140="No")&gt;0),ROW()-19),"")</f>
        <v/>
      </c>
      <c r="B79" s="16" t="str" cm="1">
        <f t="array" ref="B79">IF($A79="","",INDEX(Trades!$C:$C,$A79+3))</f>
        <v/>
      </c>
      <c r="C79" s="17" t="str" cm="1">
        <f t="array" ref="C79">IF($A79="","",INDEX(Trades!$D:$D,$A79+3))</f>
        <v/>
      </c>
      <c r="D79" s="16" t="str" cm="1">
        <f t="array" ref="D79">IF($A79="","",INDEX(Trades!$E:$E,$A79+3))</f>
        <v/>
      </c>
      <c r="E79" s="25" t="str" cm="1">
        <f t="array" ref="E79">IF($A79="","",INDEX(Trades!$F:$F,$A79+3))</f>
        <v/>
      </c>
      <c r="F79" s="26" t="str" cm="1">
        <f t="array" ref="F79">IF($A79="","",INDEX(Trades!$AB:$AB,$A79+3))</f>
        <v/>
      </c>
      <c r="G79" s="16" t="str" cm="1">
        <f t="array" ref="G79">IF($A79="","",INDEX(Trades!$AA:$AA,$A79+3))</f>
        <v/>
      </c>
      <c r="H79" s="16" t="str" cm="1">
        <f t="array" ref="H79">IF($A79="","",INDEX(Trades!$AC:$AC,$A79+3))</f>
        <v/>
      </c>
      <c r="I79" s="18" t="str" cm="1">
        <f t="array" ref="I79">IF($A79="","",INDEX(Trades!$Q:$Q,$A79+3))</f>
        <v/>
      </c>
      <c r="J79" s="16" t="str" cm="1">
        <f t="array" ref="J79">IF($A79="","",INDEX(Trades!$R:$R,$A79+3))</f>
        <v/>
      </c>
      <c r="K79" s="16" t="str" cm="1">
        <f t="array" ref="K79">IF($A79="","",INDEX(Trades!$N:$N,$A79+3))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01C0-E183-4238-80DA-5220644B31A8}">
  <dimension ref="A1:H28"/>
  <sheetViews>
    <sheetView workbookViewId="0"/>
  </sheetViews>
  <sheetFormatPr baseColWidth="10" defaultRowHeight="14.4" x14ac:dyDescent="0.3"/>
  <cols>
    <col min="1" max="1" width="42.5546875" customWidth="1"/>
    <col min="2" max="8" width="18.5546875" customWidth="1"/>
  </cols>
  <sheetData>
    <row r="1" spans="1:8" ht="18" x14ac:dyDescent="0.35">
      <c r="A1" s="3" t="s">
        <v>183</v>
      </c>
    </row>
    <row r="2" spans="1:8" x14ac:dyDescent="0.3">
      <c r="A2" s="11" t="s">
        <v>184</v>
      </c>
    </row>
    <row r="4" spans="1:8" x14ac:dyDescent="0.3">
      <c r="A4" s="12" t="s">
        <v>150</v>
      </c>
      <c r="B4" s="12" t="s">
        <v>79</v>
      </c>
    </row>
    <row r="5" spans="1:8" x14ac:dyDescent="0.3">
      <c r="A5" t="s">
        <v>185</v>
      </c>
      <c r="B5">
        <f>COUNTIFS(Trades!$N$4:$N$140,"ruptura piso Donchian")</f>
        <v>101</v>
      </c>
    </row>
    <row r="6" spans="1:8" x14ac:dyDescent="0.3">
      <c r="A6" t="s">
        <v>186</v>
      </c>
      <c r="B6" s="23">
        <f>Parametros!B6</f>
        <v>3.0000000000000001E-3</v>
      </c>
    </row>
    <row r="7" spans="1:8" x14ac:dyDescent="0.3">
      <c r="A7" t="s">
        <v>187</v>
      </c>
      <c r="B7" s="20">
        <f>COUNTIFS(Trades!$N$4:$N$140,"ruptura piso Donchian",Trades!$T$4:$T$140,"&gt;"&amp;-B6)</f>
        <v>26</v>
      </c>
    </row>
    <row r="8" spans="1:8" x14ac:dyDescent="0.3">
      <c r="A8" t="s">
        <v>188</v>
      </c>
      <c r="B8" s="22">
        <f>IFERROR(B7/B5,0)</f>
        <v>0.25742574257425743</v>
      </c>
    </row>
    <row r="9" spans="1:8" x14ac:dyDescent="0.3">
      <c r="A9" t="s">
        <v>189</v>
      </c>
      <c r="B9" s="15" cm="1">
        <f t="array" ref="B9">MEDIAN(IF(Trades!$N$4:$N$140="ruptura piso Donchian",Trades!$T$4:$T$140))</f>
        <v>-6.4180929095354333E-3</v>
      </c>
    </row>
    <row r="11" spans="1:8" x14ac:dyDescent="0.3">
      <c r="A11" s="4" t="s">
        <v>190</v>
      </c>
    </row>
    <row r="12" spans="1:8" ht="28.8" x14ac:dyDescent="0.3">
      <c r="A12" s="12" t="s">
        <v>191</v>
      </c>
      <c r="B12" s="12" t="s">
        <v>192</v>
      </c>
      <c r="C12" s="12" t="s">
        <v>193</v>
      </c>
      <c r="D12" s="12" t="s">
        <v>194</v>
      </c>
      <c r="E12" s="12" t="s">
        <v>195</v>
      </c>
      <c r="F12" s="12" t="s">
        <v>196</v>
      </c>
      <c r="G12" s="12" t="s">
        <v>157</v>
      </c>
      <c r="H12" s="12" t="s">
        <v>197</v>
      </c>
    </row>
    <row r="13" spans="1:8" x14ac:dyDescent="0.3">
      <c r="A13" s="8">
        <v>-1E-3</v>
      </c>
      <c r="B13" s="8">
        <v>0</v>
      </c>
      <c r="C13">
        <f>COUNTIFS(Trades!$N$4:$N$140,"ruptura piso Donchian",Trades!$T$4:$T$140,"&gt;"&amp;$A13,Trades!$T$4:$T$140,"&lt;="&amp;$B13)</f>
        <v>14</v>
      </c>
      <c r="D13" s="14">
        <f t="shared" ref="D13:D18" si="0">IFERROR(C13/$B$5,0)</f>
        <v>0.13861386138613863</v>
      </c>
      <c r="E13" s="14">
        <f>IFERROR(AVERAGEIFS(Trades!$Q$4:$Q$140,Trades!$N$4:$N$140,"ruptura piso Donchian",Trades!$T$4:$T$140,"&gt;"&amp;$A13,Trades!$T$4:$T$140,"&lt;="&amp;$B13),0)</f>
        <v>5.1552102119942531E-2</v>
      </c>
      <c r="F13">
        <f>COUNTIFS(Trades!$N$4:$N$140,"ruptura piso Donchian",Trades!$T$4:$T$140,"&gt;"&amp;$A13,Trades!$T$4:$T$140,"&lt;="&amp;$B13,Trades!$O$4:$O$140,"&lt;=3")</f>
        <v>11</v>
      </c>
      <c r="G13">
        <f>COUNTIFS(Trades!$N$4:$N$140,"ruptura piso Donchian",Trades!$T$4:$T$140,"&gt;"&amp;$A13,Trades!$T$4:$T$140,"&lt;="&amp;$B13,Trades!$Y$4:$Y$140,"Sí")</f>
        <v>1</v>
      </c>
      <c r="H13" s="14">
        <f>SUMIFS(Trades!$Z$4:$Z$140,Trades!$N$4:$N$140,"ruptura piso Donchian",Trades!$T$4:$T$140,"&gt;"&amp;$A13,Trades!$T$4:$T$140,"&lt;="&amp;$B13,Trades!$Y$4:$Y$140,"Sí")</f>
        <v>3.7643403441682599E-2</v>
      </c>
    </row>
    <row r="14" spans="1:8" x14ac:dyDescent="0.3">
      <c r="A14" s="8">
        <v>-3.0000000000000001E-3</v>
      </c>
      <c r="B14" s="8">
        <v>-1E-3</v>
      </c>
      <c r="C14">
        <f>COUNTIFS(Trades!$N$4:$N$140,"ruptura piso Donchian",Trades!$T$4:$T$140,"&gt;"&amp;$A14,Trades!$T$4:$T$140,"&lt;="&amp;$B14)</f>
        <v>12</v>
      </c>
      <c r="D14" s="14">
        <f t="shared" si="0"/>
        <v>0.11881188118811881</v>
      </c>
      <c r="E14" s="14">
        <f>IFERROR(AVERAGEIFS(Trades!$Q$4:$Q$140,Trades!$N$4:$N$140,"ruptura piso Donchian",Trades!$T$4:$T$140,"&gt;"&amp;$A14,Trades!$T$4:$T$140,"&lt;="&amp;$B14),0)</f>
        <v>2.8561666896540133E-2</v>
      </c>
      <c r="F14">
        <f>COUNTIFS(Trades!$N$4:$N$140,"ruptura piso Donchian",Trades!$T$4:$T$140,"&gt;"&amp;$A14,Trades!$T$4:$T$140,"&lt;="&amp;$B14,Trades!$O$4:$O$140,"&lt;=3")</f>
        <v>10</v>
      </c>
      <c r="G14">
        <f>COUNTIFS(Trades!$N$4:$N$140,"ruptura piso Donchian",Trades!$T$4:$T$140,"&gt;"&amp;$A14,Trades!$T$4:$T$140,"&lt;="&amp;$B14,Trades!$Y$4:$Y$140,"Sí")</f>
        <v>0</v>
      </c>
      <c r="H14" s="14">
        <f>SUMIFS(Trades!$Z$4:$Z$140,Trades!$N$4:$N$140,"ruptura piso Donchian",Trades!$T$4:$T$140,"&gt;"&amp;$A14,Trades!$T$4:$T$140,"&lt;="&amp;$B14,Trades!$Y$4:$Y$140,"Sí")</f>
        <v>0</v>
      </c>
    </row>
    <row r="15" spans="1:8" x14ac:dyDescent="0.3">
      <c r="A15" s="8">
        <v>-5.0000000000000001E-3</v>
      </c>
      <c r="B15" s="8">
        <v>-3.0000000000000001E-3</v>
      </c>
      <c r="C15">
        <f>COUNTIFS(Trades!$N$4:$N$140,"ruptura piso Donchian",Trades!$T$4:$T$140,"&gt;"&amp;$A15,Trades!$T$4:$T$140,"&lt;="&amp;$B15)</f>
        <v>16</v>
      </c>
      <c r="D15" s="14">
        <f t="shared" si="0"/>
        <v>0.15841584158415842</v>
      </c>
      <c r="E15" s="14">
        <f>IFERROR(AVERAGEIFS(Trades!$Q$4:$Q$140,Trades!$N$4:$N$140,"ruptura piso Donchian",Trades!$T$4:$T$140,"&gt;"&amp;$A15,Trades!$T$4:$T$140,"&lt;="&amp;$B15),0)</f>
        <v>2.5549029913352235E-2</v>
      </c>
      <c r="F15">
        <f>COUNTIFS(Trades!$N$4:$N$140,"ruptura piso Donchian",Trades!$T$4:$T$140,"&gt;"&amp;$A15,Trades!$T$4:$T$140,"&lt;="&amp;$B15,Trades!$O$4:$O$140,"&lt;=3")</f>
        <v>12</v>
      </c>
      <c r="G15">
        <f>COUNTIFS(Trades!$N$4:$N$140,"ruptura piso Donchian",Trades!$T$4:$T$140,"&gt;"&amp;$A15,Trades!$T$4:$T$140,"&lt;="&amp;$B15,Trades!$Y$4:$Y$140,"Sí")</f>
        <v>0</v>
      </c>
      <c r="H15" s="14">
        <f>SUMIFS(Trades!$Z$4:$Z$140,Trades!$N$4:$N$140,"ruptura piso Donchian",Trades!$T$4:$T$140,"&gt;"&amp;$A15,Trades!$T$4:$T$140,"&lt;="&amp;$B15,Trades!$Y$4:$Y$140,"Sí")</f>
        <v>0</v>
      </c>
    </row>
    <row r="16" spans="1:8" x14ac:dyDescent="0.3">
      <c r="A16" s="8">
        <v>-0.01</v>
      </c>
      <c r="B16" s="8">
        <v>-5.0000000000000001E-3</v>
      </c>
      <c r="C16">
        <f>COUNTIFS(Trades!$N$4:$N$140,"ruptura piso Donchian",Trades!$T$4:$T$140,"&gt;"&amp;$A16,Trades!$T$4:$T$140,"&lt;="&amp;$B16)</f>
        <v>17</v>
      </c>
      <c r="D16" s="14">
        <f t="shared" si="0"/>
        <v>0.16831683168316833</v>
      </c>
      <c r="E16" s="14">
        <f>IFERROR(AVERAGEIFS(Trades!$Q$4:$Q$140,Trades!$N$4:$N$140,"ruptura piso Donchian",Trades!$T$4:$T$140,"&gt;"&amp;$A16,Trades!$T$4:$T$140,"&lt;="&amp;$B16),0)</f>
        <v>2.2737333942803861E-2</v>
      </c>
      <c r="F16">
        <f>COUNTIFS(Trades!$N$4:$N$140,"ruptura piso Donchian",Trades!$T$4:$T$140,"&gt;"&amp;$A16,Trades!$T$4:$T$140,"&lt;="&amp;$B16,Trades!$O$4:$O$140,"&lt;=3")</f>
        <v>16</v>
      </c>
      <c r="G16">
        <f>COUNTIFS(Trades!$N$4:$N$140,"ruptura piso Donchian",Trades!$T$4:$T$140,"&gt;"&amp;$A16,Trades!$T$4:$T$140,"&lt;="&amp;$B16,Trades!$Y$4:$Y$140,"Sí")</f>
        <v>1</v>
      </c>
      <c r="H16" s="14">
        <f>SUMIFS(Trades!$Z$4:$Z$140,Trades!$N$4:$N$140,"ruptura piso Donchian",Trades!$T$4:$T$140,"&gt;"&amp;$A16,Trades!$T$4:$T$140,"&lt;="&amp;$B16,Trades!$Y$4:$Y$140,"Sí")</f>
        <v>5.5134156005887114E-2</v>
      </c>
    </row>
    <row r="17" spans="1:8" x14ac:dyDescent="0.3">
      <c r="A17" s="8">
        <v>-0.02</v>
      </c>
      <c r="B17" s="8">
        <v>-0.01</v>
      </c>
      <c r="C17">
        <f>COUNTIFS(Trades!$N$4:$N$140,"ruptura piso Donchian",Trades!$T$4:$T$140,"&gt;"&amp;$A17,Trades!$T$4:$T$140,"&lt;="&amp;$B17)</f>
        <v>26</v>
      </c>
      <c r="D17" s="14">
        <f t="shared" si="0"/>
        <v>0.25742574257425743</v>
      </c>
      <c r="E17" s="14">
        <f>IFERROR(AVERAGEIFS(Trades!$Q$4:$Q$140,Trades!$N$4:$N$140,"ruptura piso Donchian",Trades!$T$4:$T$140,"&gt;"&amp;$A17,Trades!$T$4:$T$140,"&lt;="&amp;$B17),0)</f>
        <v>-1.1536435082811517E-2</v>
      </c>
      <c r="F17">
        <f>COUNTIFS(Trades!$N$4:$N$140,"ruptura piso Donchian",Trades!$T$4:$T$140,"&gt;"&amp;$A17,Trades!$T$4:$T$140,"&lt;="&amp;$B17,Trades!$O$4:$O$140,"&lt;=3")</f>
        <v>16</v>
      </c>
      <c r="G17">
        <f>COUNTIFS(Trades!$N$4:$N$140,"ruptura piso Donchian",Trades!$T$4:$T$140,"&gt;"&amp;$A17,Trades!$T$4:$T$140,"&lt;="&amp;$B17,Trades!$Y$4:$Y$140,"Sí")</f>
        <v>1</v>
      </c>
      <c r="H17" s="14">
        <f>SUMIFS(Trades!$Z$4:$Z$140,Trades!$N$4:$N$140,"ruptura piso Donchian",Trades!$T$4:$T$140,"&gt;"&amp;$A17,Trades!$T$4:$T$140,"&lt;="&amp;$B17,Trades!$Y$4:$Y$140,"Sí")</f>
        <v>5.5290273938175538E-2</v>
      </c>
    </row>
    <row r="18" spans="1:8" x14ac:dyDescent="0.3">
      <c r="A18" s="8">
        <v>-1</v>
      </c>
      <c r="B18" s="8">
        <v>-0.02</v>
      </c>
      <c r="C18">
        <f>COUNTIFS(Trades!$N$4:$N$140,"ruptura piso Donchian",Trades!$T$4:$T$140,"&gt;"&amp;$A18,Trades!$T$4:$T$140,"&lt;="&amp;$B18)</f>
        <v>16</v>
      </c>
      <c r="D18" s="14">
        <f t="shared" si="0"/>
        <v>0.15841584158415842</v>
      </c>
      <c r="E18" s="14">
        <f>IFERROR(AVERAGEIFS(Trades!$Q$4:$Q$140,Trades!$N$4:$N$140,"ruptura piso Donchian",Trades!$T$4:$T$140,"&gt;"&amp;$A18,Trades!$T$4:$T$140,"&lt;="&amp;$B18),0)</f>
        <v>-3.1172631570827523E-2</v>
      </c>
      <c r="F18">
        <f>COUNTIFS(Trades!$N$4:$N$140,"ruptura piso Donchian",Trades!$T$4:$T$140,"&gt;"&amp;$A18,Trades!$T$4:$T$140,"&lt;="&amp;$B18,Trades!$O$4:$O$140,"&lt;=3")</f>
        <v>14</v>
      </c>
      <c r="G18">
        <f>COUNTIFS(Trades!$N$4:$N$140,"ruptura piso Donchian",Trades!$T$4:$T$140,"&gt;"&amp;$A18,Trades!$T$4:$T$140,"&lt;="&amp;$B18,Trades!$Y$4:$Y$140,"Sí")</f>
        <v>0</v>
      </c>
      <c r="H18" s="14">
        <f>SUMIFS(Trades!$Z$4:$Z$140,Trades!$N$4:$N$140,"ruptura piso Donchian",Trades!$T$4:$T$140,"&gt;"&amp;$A18,Trades!$T$4:$T$140,"&lt;="&amp;$B18,Trades!$Y$4:$Y$140,"Sí")</f>
        <v>0</v>
      </c>
    </row>
    <row r="19" spans="1:8" x14ac:dyDescent="0.3">
      <c r="A19" s="4" t="s">
        <v>132</v>
      </c>
      <c r="B19" s="4"/>
      <c r="C19" s="4">
        <f>SUM(C13:C18)</f>
        <v>101</v>
      </c>
      <c r="D19" s="24">
        <f>SUM(D13:D18)</f>
        <v>1</v>
      </c>
      <c r="E19" s="24">
        <f>IFERROR(AVERAGEIFS(Trades!$Q$4:$Q$140,Trades!$N$4:$N$140,"ruptura piso Donchian"),0)</f>
        <v>1.050573436428355E-2</v>
      </c>
      <c r="F19" s="4">
        <f>SUM(F13:F18)</f>
        <v>79</v>
      </c>
      <c r="G19" s="4">
        <f>SUM(G13:G18)</f>
        <v>3</v>
      </c>
      <c r="H19" s="24">
        <f>SUM(H13:H18)</f>
        <v>0.14806783338574525</v>
      </c>
    </row>
    <row r="22" spans="1:8" x14ac:dyDescent="0.3">
      <c r="A22" s="4" t="s">
        <v>198</v>
      </c>
    </row>
    <row r="23" spans="1:8" ht="28.8" x14ac:dyDescent="0.3">
      <c r="A23" s="12" t="s">
        <v>199</v>
      </c>
      <c r="B23" s="12" t="s">
        <v>200</v>
      </c>
      <c r="C23" s="12" t="s">
        <v>201</v>
      </c>
      <c r="D23" s="12" t="s">
        <v>196</v>
      </c>
      <c r="E23" s="12" t="s">
        <v>202</v>
      </c>
      <c r="F23" s="12" t="s">
        <v>203</v>
      </c>
      <c r="G23" s="12" t="s">
        <v>204</v>
      </c>
    </row>
    <row r="24" spans="1:8" x14ac:dyDescent="0.3">
      <c r="A24" s="8">
        <v>1E-3</v>
      </c>
      <c r="B24">
        <f>COUNTIFS(Trades!$N$4:$N$140,"ruptura piso Donchian",Trades!$T$4:$T$140,"&gt;"&amp;-$A24)</f>
        <v>14</v>
      </c>
      <c r="C24" s="22">
        <f>IFERROR(B24/$B$5,0)</f>
        <v>0.13861386138613863</v>
      </c>
      <c r="D24">
        <f>COUNTIFS(Trades!$N$4:$N$140,"ruptura piso Donchian",Trades!$T$4:$T$140,"&gt;"&amp;-$A24,Trades!$O$4:$O$140,"&lt;=3")</f>
        <v>11</v>
      </c>
      <c r="E24">
        <f>COUNTIFS(Trades!$N$4:$N$140,"ruptura piso Donchian",Trades!$T$4:$T$140,"&gt;"&amp;-$A24,Trades!$Y$4:$Y$140,"Sí")</f>
        <v>1</v>
      </c>
      <c r="F24" s="14">
        <f>SUMIFS(Trades!$Z$4:$Z$140,Trades!$N$4:$N$140,"ruptura piso Donchian",Trades!$T$4:$T$140,"&gt;"&amp;-$A24,Trades!$Y$4:$Y$140,"Sí")</f>
        <v>3.7643403441682599E-2</v>
      </c>
      <c r="G24" s="14">
        <f>IFERROR(AVERAGEIFS(Trades!$Q$4:$Q$140,Trades!$N$4:$N$140,"ruptura piso Donchian",Trades!$T$4:$T$140,"&gt;"&amp;-$A24),0)</f>
        <v>5.1552102119942531E-2</v>
      </c>
    </row>
    <row r="25" spans="1:8" x14ac:dyDescent="0.3">
      <c r="A25" s="8">
        <v>2E-3</v>
      </c>
      <c r="B25">
        <f>COUNTIFS(Trades!$N$4:$N$140,"ruptura piso Donchian",Trades!$T$4:$T$140,"&gt;"&amp;-$A25)</f>
        <v>19</v>
      </c>
      <c r="C25" s="22">
        <f>IFERROR(B25/$B$5,0)</f>
        <v>0.18811881188118812</v>
      </c>
      <c r="D25">
        <f>COUNTIFS(Trades!$N$4:$N$140,"ruptura piso Donchian",Trades!$T$4:$T$140,"&gt;"&amp;-$A25,Trades!$O$4:$O$140,"&lt;=3")</f>
        <v>16</v>
      </c>
      <c r="E25">
        <f>COUNTIFS(Trades!$N$4:$N$140,"ruptura piso Donchian",Trades!$T$4:$T$140,"&gt;"&amp;-$A25,Trades!$Y$4:$Y$140,"Sí")</f>
        <v>1</v>
      </c>
      <c r="F25" s="14">
        <f>SUMIFS(Trades!$Z$4:$Z$140,Trades!$N$4:$N$140,"ruptura piso Donchian",Trades!$T$4:$T$140,"&gt;"&amp;-$A25,Trades!$Y$4:$Y$140,"Sí")</f>
        <v>3.7643403441682599E-2</v>
      </c>
      <c r="G25" s="14">
        <f>IFERROR(AVERAGEIFS(Trades!$Q$4:$Q$140,Trades!$N$4:$N$140,"ruptura piso Donchian",Trades!$T$4:$T$140,"&gt;"&amp;-$A25),0)</f>
        <v>4.969353330724794E-2</v>
      </c>
    </row>
    <row r="26" spans="1:8" x14ac:dyDescent="0.3">
      <c r="A26" s="27">
        <f>Parametros!B6</f>
        <v>3.0000000000000001E-3</v>
      </c>
      <c r="B26" s="28">
        <f>COUNTIFS(Trades!$N$4:$N$140,"ruptura piso Donchian",Trades!$T$4:$T$140,"&gt;"&amp;-$A26)</f>
        <v>26</v>
      </c>
      <c r="C26" s="29">
        <f>IFERROR(B26/$B$5,0)</f>
        <v>0.25742574257425743</v>
      </c>
      <c r="D26" s="28">
        <f>COUNTIFS(Trades!$N$4:$N$140,"ruptura piso Donchian",Trades!$T$4:$T$140,"&gt;"&amp;-$A26,Trades!$O$4:$O$140,"&lt;=3")</f>
        <v>21</v>
      </c>
      <c r="E26" s="28">
        <f>COUNTIFS(Trades!$N$4:$N$140,"ruptura piso Donchian",Trades!$T$4:$T$140,"&gt;"&amp;-$A26,Trades!$Y$4:$Y$140,"Sí")</f>
        <v>1</v>
      </c>
      <c r="F26" s="30">
        <f>SUMIFS(Trades!$Z$4:$Z$140,Trades!$N$4:$N$140,"ruptura piso Donchian",Trades!$T$4:$T$140,"&gt;"&amp;-$A26,Trades!$Y$4:$Y$140,"Sí")</f>
        <v>3.7643403441682599E-2</v>
      </c>
      <c r="G26" s="30">
        <f>IFERROR(AVERAGEIFS(Trades!$Q$4:$Q$140,Trades!$N$4:$N$140,"ruptura piso Donchian",Trades!$T$4:$T$140,"&gt;"&amp;-$A26),0)</f>
        <v>4.0941132016833734E-2</v>
      </c>
    </row>
    <row r="27" spans="1:8" x14ac:dyDescent="0.3">
      <c r="A27" s="8">
        <v>5.0000000000000001E-3</v>
      </c>
      <c r="B27">
        <f>COUNTIFS(Trades!$N$4:$N$140,"ruptura piso Donchian",Trades!$T$4:$T$140,"&gt;"&amp;-$A27)</f>
        <v>42</v>
      </c>
      <c r="C27" s="22">
        <f>IFERROR(B27/$B$5,0)</f>
        <v>0.41584158415841582</v>
      </c>
      <c r="D27">
        <f>COUNTIFS(Trades!$N$4:$N$140,"ruptura piso Donchian",Trades!$T$4:$T$140,"&gt;"&amp;-$A27,Trades!$O$4:$O$140,"&lt;=3")</f>
        <v>33</v>
      </c>
      <c r="E27">
        <f>COUNTIFS(Trades!$N$4:$N$140,"ruptura piso Donchian",Trades!$T$4:$T$140,"&gt;"&amp;-$A27,Trades!$Y$4:$Y$140,"Sí")</f>
        <v>1</v>
      </c>
      <c r="F27" s="14">
        <f>SUMIFS(Trades!$Z$4:$Z$140,Trades!$N$4:$N$140,"ruptura piso Donchian",Trades!$T$4:$T$140,"&gt;"&amp;-$A27,Trades!$Y$4:$Y$140,"Sí")</f>
        <v>3.7643403441682599E-2</v>
      </c>
      <c r="G27" s="14">
        <f>IFERROR(AVERAGEIFS(Trades!$Q$4:$Q$140,Trades!$N$4:$N$140,"ruptura piso Donchian",Trades!$T$4:$T$140,"&gt;"&amp;-$A27),0)</f>
        <v>3.5077474072650307E-2</v>
      </c>
    </row>
    <row r="28" spans="1:8" x14ac:dyDescent="0.3">
      <c r="A28" s="8">
        <v>0.01</v>
      </c>
      <c r="B28">
        <f>COUNTIFS(Trades!$N$4:$N$140,"ruptura piso Donchian",Trades!$T$4:$T$140,"&gt;"&amp;-$A28)</f>
        <v>59</v>
      </c>
      <c r="C28" s="22">
        <f>IFERROR(B28/$B$5,0)</f>
        <v>0.58415841584158412</v>
      </c>
      <c r="D28">
        <f>COUNTIFS(Trades!$N$4:$N$140,"ruptura piso Donchian",Trades!$T$4:$T$140,"&gt;"&amp;-$A28,Trades!$O$4:$O$140,"&lt;=3")</f>
        <v>49</v>
      </c>
      <c r="E28">
        <f>COUNTIFS(Trades!$N$4:$N$140,"ruptura piso Donchian",Trades!$T$4:$T$140,"&gt;"&amp;-$A28,Trades!$Y$4:$Y$140,"Sí")</f>
        <v>2</v>
      </c>
      <c r="F28" s="14">
        <f>SUMIFS(Trades!$Z$4:$Z$140,Trades!$N$4:$N$140,"ruptura piso Donchian",Trades!$T$4:$T$140,"&gt;"&amp;-$A28,Trades!$Y$4:$Y$140,"Sí")</f>
        <v>9.2777559447569713E-2</v>
      </c>
      <c r="G28" s="14">
        <f>IFERROR(AVERAGEIFS(Trades!$Q$4:$Q$140,Trades!$N$4:$N$140,"ruptura piso Donchian",Trades!$T$4:$T$140,"&gt;"&amp;-$A28),0)</f>
        <v>3.1521840475914879E-2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Comparador exposicion</vt:lpstr>
      <vt:lpstr>Motivos resumen</vt:lpstr>
      <vt:lpstr>Motivos detalle</vt:lpstr>
      <vt:lpstr>Parametros</vt:lpstr>
      <vt:lpstr>Trades</vt:lpstr>
      <vt:lpstr>Estadisticas</vt:lpstr>
      <vt:lpstr>Whipsaws</vt:lpstr>
      <vt:lpstr>Filtro momentum</vt:lpstr>
      <vt:lpstr>Sensibilidad Donchian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2026-10-02T21:47:21Z</dcterms:created>
  <dcterms:modified xsi:type="dcterms:W3CDTF">2026-10-04T19:42:13Z</dcterms:modified>
</cp:coreProperties>
</file>